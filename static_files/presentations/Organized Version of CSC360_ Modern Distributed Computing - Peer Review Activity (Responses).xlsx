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Grades-v2" sheetId="2" r:id="rId5"/>
    <sheet state="visible" name="Grades-v1" sheetId="3" r:id="rId6"/>
    <sheet state="visible" name="Alhassana Diallo, Sadia Nawaz" sheetId="4" r:id="rId7"/>
    <sheet state="visible" name="Peer Review for Alhassana Diall" sheetId="5" r:id="rId8"/>
    <sheet state="visible" name="Brandon Bedoya, Haoliang Zhang" sheetId="6" r:id="rId9"/>
    <sheet state="visible" name="Peer Review for Brandon Bedoya," sheetId="7" r:id="rId10"/>
    <sheet state="visible" name="Christopher Luis Barbosa Jr, Se" sheetId="8" r:id="rId11"/>
    <sheet state="visible" name="Peer Review for Christopher Bar" sheetId="9" r:id="rId12"/>
    <sheet state="visible" name="Gaurav Gupta, Joshua Kenneth Ji" sheetId="10" r:id="rId13"/>
    <sheet state="visible" name="Peer Review for Gaurav Gupta, J" sheetId="11" r:id="rId14"/>
    <sheet state="visible" name="Marcley Colin, Mustafa Ahmet Mu" sheetId="12" r:id="rId15"/>
    <sheet state="visible" name="Peer Revi Marcley Colin, Mustaf" sheetId="13" r:id="rId16"/>
    <sheet state="visible" name="Mehedi Hasan, Aidan Adonis Pena" sheetId="14" r:id="rId17"/>
    <sheet state="visible" name="Peer Review for Mehedi Hasan, A" sheetId="15" r:id="rId18"/>
    <sheet state="visible" name="Minning Liu, Emmanuelle Padilla" sheetId="16" r:id="rId19"/>
    <sheet state="visible" name="Peer Review for Minning Liu, Em" sheetId="17" r:id="rId20"/>
    <sheet state="visible" name="Parthkumar Joshi, Klea Meta" sheetId="18" r:id="rId21"/>
    <sheet state="visible" name="Peer Review for Parthkumar Josh" sheetId="19" r:id="rId22"/>
    <sheet state="visible" name="Rivaldo Lumelino, Alexandr Voro" sheetId="20" r:id="rId23"/>
    <sheet state="visible" name=" Peer Review Rivaldo Lumelino, " sheetId="21" r:id="rId24"/>
    <sheet state="visible" name="Shale Lucas, Omar Stevens" sheetId="22" r:id="rId25"/>
    <sheet state="visible" name="Peer Review for Shale Lucas, Om" sheetId="23" r:id="rId26"/>
  </sheets>
  <definedNames/>
  <calcPr/>
</workbook>
</file>

<file path=xl/sharedStrings.xml><?xml version="1.0" encoding="utf-8"?>
<sst xmlns="http://schemas.openxmlformats.org/spreadsheetml/2006/main" count="1635" uniqueCount="238">
  <si>
    <t>Timestamp</t>
  </si>
  <si>
    <t>Enter your name.</t>
  </si>
  <si>
    <t>Enter your ID</t>
  </si>
  <si>
    <t>Whose project are you peer-reviewing?</t>
  </si>
  <si>
    <t>What grade are you giving this project out of 10 as a part of your peer review?</t>
  </si>
  <si>
    <t xml:space="preserve">Enter your brief feedback for your peer's projects. Briefly suggest what their projects are good at and what their projects can improve on. </t>
  </si>
  <si>
    <t>Email Address</t>
  </si>
  <si>
    <t xml:space="preserve">Alexandr Voronovich </t>
  </si>
  <si>
    <t>Alhassana Diallo, Sadia Nawaz</t>
  </si>
  <si>
    <t xml:space="preserve">Good job </t>
  </si>
  <si>
    <t>alexandrvoronovich@gmail.com</t>
  </si>
  <si>
    <t>Brandon Bedoya, Haoliang Zhang</t>
  </si>
  <si>
    <t xml:space="preserve">Nice presentation </t>
  </si>
  <si>
    <t>Christopher Luis Barbosa Jr, Sean Jenkins</t>
  </si>
  <si>
    <t xml:space="preserve">Good representation </t>
  </si>
  <si>
    <t>Gaurav Gupta, Joshua Kenneth Jimenez</t>
  </si>
  <si>
    <t>Well done</t>
  </si>
  <si>
    <t>Marcley Colin, Mustafa Ahmet Must Donmez</t>
  </si>
  <si>
    <t xml:space="preserve">Good presentation </t>
  </si>
  <si>
    <t>Mehedi Hasan, Aidan Adonis Pena</t>
  </si>
  <si>
    <t xml:space="preserve">Very good presentation </t>
  </si>
  <si>
    <t>Minning Liu, Emmanuelle Padilla</t>
  </si>
  <si>
    <t>Parthkumar Joshi, Klea Meta</t>
  </si>
  <si>
    <t>Good job</t>
  </si>
  <si>
    <t>Shale Lucas, Omar Stevens</t>
  </si>
  <si>
    <t xml:space="preserve">Very good. I’ll check what is a smart thermostat </t>
  </si>
  <si>
    <t>Alhassana Diallo</t>
  </si>
  <si>
    <t>good project!</t>
  </si>
  <si>
    <t>alhassanadiallo224@gmail.com</t>
  </si>
  <si>
    <t>Interesting project I like how they implemented it! Very good</t>
  </si>
  <si>
    <t>adiallo050@citymail.cuny.edu</t>
  </si>
  <si>
    <t>Rivaldo Lumelino, Alexandr Voronovich</t>
  </si>
  <si>
    <t>good thing</t>
  </si>
  <si>
    <t>Erik Brobyn</t>
  </si>
  <si>
    <t>well done. would like to see this when they done at the end of the semester.</t>
  </si>
  <si>
    <t>Very well done!</t>
  </si>
  <si>
    <t>I really like their project and I think it’s good! Good approach</t>
  </si>
  <si>
    <t>This is good. Visual effects are less.</t>
  </si>
  <si>
    <t>Should've run code before class and get better usage of their time. Good project overall!</t>
  </si>
  <si>
    <t>Alhassana. Diallo</t>
  </si>
  <si>
    <t>Very well done!!! having visualized of the running code from the slide would be  very cool.</t>
  </si>
  <si>
    <t>Brandon Bedoya</t>
  </si>
  <si>
    <t xml:space="preserve">Great explanation just time management not great </t>
  </si>
  <si>
    <t>bbedoya000@citymail.cuny.edu</t>
  </si>
  <si>
    <t xml:space="preserve">Great work </t>
  </si>
  <si>
    <t xml:space="preserve">Brandon Bedoya </t>
  </si>
  <si>
    <t xml:space="preserve">Great explanation of the project just need to show some more metrics </t>
  </si>
  <si>
    <t xml:space="preserve">Great project explanation </t>
  </si>
  <si>
    <t xml:space="preserve">The model demo was great just needed to show some more metrics </t>
  </si>
  <si>
    <t xml:space="preserve">Presentation looked cool and clean </t>
  </si>
  <si>
    <t xml:space="preserve">The explanation was great and the code demo was cool. Time management was just the issue </t>
  </si>
  <si>
    <t xml:space="preserve">Great explanation and code sample </t>
  </si>
  <si>
    <t xml:space="preserve">Project explanation was good just show some more metrics </t>
  </si>
  <si>
    <t xml:space="preserve">Christopher </t>
  </si>
  <si>
    <t xml:space="preserve">Barbosa </t>
  </si>
  <si>
    <t>clear project statement and direction for future research, and had a running prototype to show</t>
  </si>
  <si>
    <t>cbarbos001@citymail.cuny.edu</t>
  </si>
  <si>
    <t>Christopher Barbosa</t>
  </si>
  <si>
    <t>clear project description and showed clear data gathered and analysis of multiple baseline models.</t>
  </si>
  <si>
    <t>clear project description and detailed explanation of future direction and data gathered thus far.</t>
  </si>
  <si>
    <t>provided a good live demo of the project, had a clear plan for the future.</t>
  </si>
  <si>
    <t>good baseline and research done, provide clear data and results gathered so far and had a clear future plan</t>
  </si>
  <si>
    <t>has a clear plan for future research, provide a good amount of gathered data and results</t>
  </si>
  <si>
    <t>clear future plan and detailed explanation of project topic and work done so far(successes, challenges, and live code example)</t>
  </si>
  <si>
    <t>clear research and proficient data and baseline results</t>
  </si>
  <si>
    <t xml:space="preserve">Christopher Barbosa </t>
  </si>
  <si>
    <t>clear project plan and execution, had concrete live coding examples</t>
  </si>
  <si>
    <t>Emmanuelle Padilla</t>
  </si>
  <si>
    <t>Should have more visuals and less text in the slides to help the audience.</t>
  </si>
  <si>
    <t>epadill001@citymail.cuny.edu</t>
  </si>
  <si>
    <t xml:space="preserve">Very nice visuals and well-explained </t>
  </si>
  <si>
    <t>Great presentation</t>
  </si>
  <si>
    <t>Very well thought out project</t>
  </si>
  <si>
    <t>More visuals</t>
  </si>
  <si>
    <t>Very good</t>
  </si>
  <si>
    <t xml:space="preserve">The slide theme was a bit distracting </t>
  </si>
  <si>
    <t>Very organized</t>
  </si>
  <si>
    <t>Text was hard to read and should be smaller text.</t>
  </si>
  <si>
    <t>I think being more concise could help</t>
  </si>
  <si>
    <t>Gaurav Gupta</t>
  </si>
  <si>
    <t>Very detailed, well-crafted presentation. Love that they included various pictures of the code and the results. Could have been made shorter.</t>
  </si>
  <si>
    <t>ggupta000@citymail.cuny.edu</t>
  </si>
  <si>
    <t>Presentation was clear and easy to follow. Timed well. Results were clear. Don’t know what suggestions to provide.</t>
  </si>
  <si>
    <t>Descriptive presentation. Reduce text on-screen. Shorten presentation.</t>
  </si>
  <si>
    <t>Descriptive presentation. i liked the description of the code.</t>
  </si>
  <si>
    <t>Well made and easy-to-follow presentation. Perhaps expand more on what the challenges are and what the next steps are.</t>
  </si>
  <si>
    <t>Engaging description of the steps they took. Very clear outline of what was done and what were the results.</t>
  </si>
  <si>
    <t xml:space="preserve">Very detailed presentation, clearly described initial testing. </t>
  </si>
  <si>
    <t>Good demo of the code. Helped me understand the goal of the project. Less text could have been used on the slides.</t>
  </si>
  <si>
    <t xml:space="preserve">Articulated the problem well. Work on adding more models. </t>
  </si>
  <si>
    <t>Haoliang Zhang</t>
  </si>
  <si>
    <t xml:space="preserve">very impressive great presentation and show case </t>
  </si>
  <si>
    <t>haoliang3076@gmail.com</t>
  </si>
  <si>
    <t>klea</t>
  </si>
  <si>
    <t>nice</t>
  </si>
  <si>
    <t>kmeta000@citymail.cuny.edu</t>
  </si>
  <si>
    <t xml:space="preserve">good presentation </t>
  </si>
  <si>
    <t>nice work</t>
  </si>
  <si>
    <t>Presented alone and did a great job!</t>
  </si>
  <si>
    <t>Nice simulations in the slides</t>
  </si>
  <si>
    <t>good</t>
  </si>
  <si>
    <t>Very good!</t>
  </si>
  <si>
    <t>Klea</t>
  </si>
  <si>
    <t>Good work!</t>
  </si>
  <si>
    <t>Marcley Colin</t>
  </si>
  <si>
    <t>Beautifully data heavy; Lots of awesome research; Deep depth of baselines and their analyses in relation to the overall project; Very well put together, structure, flow, data all well put together.</t>
  </si>
  <si>
    <t>mcolin001@citymail.cuny.edu</t>
  </si>
  <si>
    <t>Great definitions and application descriptions; Clear path and ideas; Prediction included that added much insight</t>
  </si>
  <si>
    <t>Unfortunately I have class coming up which is why submitted so quick; Interesting baseline but lots of text on slides; Improvement goals are clear and concise; Improves on the RAG concept</t>
  </si>
  <si>
    <t>Clear definition of the goal; Related proof of concept; Kept to the skeleton of presentation; Could talk about metrics more (prof note); Could also show more about proof of concept in application</t>
  </si>
  <si>
    <t>Visually sound; Just wasnt able to understand what he was talking about; Could simplify a little more? Show off more of the math as that made sense; Follows the requirements;</t>
  </si>
  <si>
    <t>Insightful discussion on AI based communication; Awesome they utilized things specific to the lecture slides; Extremely clear; Baseline is solid</t>
  </si>
  <si>
    <t>Follows the structure well; Well articulated goals; Pretty good understanding of how their project will have an impact; data full slides and small demo; Larger model makes smaller model better; Wonderful;</t>
  </si>
  <si>
    <t>Presents useful background information; Relevant baselines; Awesome simulation; Very knowledgeable</t>
  </si>
  <si>
    <t>Great background knowledge; Cool examples; Kept everything relevant; Kept it short and sweet.</t>
  </si>
  <si>
    <t>Minning</t>
  </si>
  <si>
    <t>Liu</t>
  </si>
  <si>
    <t>They did amazing.</t>
  </si>
  <si>
    <t>mliu007@citymail.cuny.edu</t>
  </si>
  <si>
    <t>Minning Liu</t>
  </si>
  <si>
    <t>I think they think an amazing job, they got an animation and graph for their project.</t>
  </si>
  <si>
    <t>This is a very strong project, I don't really have any suggestion about their project since I'm don't have too much knowledge in the field they are researching.</t>
  </si>
  <si>
    <t xml:space="preserve">One thing that I can I see they are doing better than other group is that they will use drones to test out their project in an urban area. </t>
  </si>
  <si>
    <t>Mustafa Donmez</t>
  </si>
  <si>
    <t>Very good, nice project, and very interesting solution and approach.</t>
  </si>
  <si>
    <t>mdonmez000@citymail.cuny.edu</t>
  </si>
  <si>
    <t>Good project, looks very interesting, I would recommend giving more details on the problem.</t>
  </si>
  <si>
    <t>Looks very interesting, looking forward to future implementation. couldn't stay at the end tho.</t>
  </si>
  <si>
    <t xml:space="preserve">Really good project, and really interesting solution. </t>
  </si>
  <si>
    <t>Looks very interesting, looking forward to future implementation.</t>
  </si>
  <si>
    <t>Really interesting project, looking forward to the final update.</t>
  </si>
  <si>
    <t>The idea wasn't fully clear, but project seems interesting.</t>
  </si>
  <si>
    <t>The intro to the project is very good, the idea is really interesting, I suggest maybe using the system for small programs and then AI performance. and maybe prep the simulation or code test before presentation.</t>
  </si>
  <si>
    <t>Parthkumar Joshi</t>
  </si>
  <si>
    <t>Great presentation. Slides were very nicely made, lots of images so the audience can be drawn in. You could have simplify it a bit for time sake but nice job.</t>
  </si>
  <si>
    <t>pjoshi001@citymail.cuny.edu</t>
  </si>
  <si>
    <t>Great presentation. Try to gather the metrics you guys are trying to track.</t>
  </si>
  <si>
    <t>Great progress. Presentation flowed very well. Try to gather what metrics you are testing for.</t>
  </si>
  <si>
    <t>Great Presentation. The simulation looked great. For presentation wise, try to practice a bit so one person does not look lost.</t>
  </si>
  <si>
    <t>Slides are very vibrant and pleasing. Very confident in speaking is very good. Coding demo was very nicely done.</t>
  </si>
  <si>
    <t>Great job, you guys seem to understand your topic very well. Progress seems to be steady and on pace.</t>
  </si>
  <si>
    <t>Very knowledgable of their codebase. Excited to see their final project.</t>
  </si>
  <si>
    <t>Very nice job. Even with the computer issues it was a nice presentation. Try to come up with a concrete plan on how experiment with your problem with more models.</t>
  </si>
  <si>
    <t>Rivaldo Lumelino</t>
  </si>
  <si>
    <t>Very visually appealing, slightly long</t>
  </si>
  <si>
    <t>rlumeli000@citymail.cuny.edu</t>
  </si>
  <si>
    <t>Great job</t>
  </si>
  <si>
    <t>Very Impressive</t>
  </si>
  <si>
    <t xml:space="preserve">Nice Simulation, well done. </t>
  </si>
  <si>
    <t>Very efficient presentation</t>
  </si>
  <si>
    <t>Nicely Composed</t>
  </si>
  <si>
    <t>Incredible</t>
  </si>
  <si>
    <t>Amazing</t>
  </si>
  <si>
    <t>sadia</t>
  </si>
  <si>
    <t xml:space="preserve">definitely amazing </t>
  </si>
  <si>
    <t>saadianawaz1@gmail.com</t>
  </si>
  <si>
    <t>good job</t>
  </si>
  <si>
    <t xml:space="preserve">good effort </t>
  </si>
  <si>
    <t>great job</t>
  </si>
  <si>
    <t xml:space="preserve">weldone </t>
  </si>
  <si>
    <t xml:space="preserve">good job </t>
  </si>
  <si>
    <t>Sadia</t>
  </si>
  <si>
    <t xml:space="preserve">its great in terms of the result and </t>
  </si>
  <si>
    <t xml:space="preserve">Sadia </t>
  </si>
  <si>
    <t xml:space="preserve"> he is still running code so i di not get chance to take a look on his work</t>
  </si>
  <si>
    <t xml:space="preserve">saida </t>
  </si>
  <si>
    <t>Saptarashmi Bandyopadhyay</t>
  </si>
  <si>
    <t>NA</t>
  </si>
  <si>
    <t xml:space="preserve">82/90, 20/20. Good works on Bayesian semantic negotiation. Define alignment and semantic rewards in an improved fashion. Great work showcasing the baseline reward in the plot. Important define the reward though. Good toy example of observation space. Visualization of slides can be improved with more symbology on the table. Extension to A2A is a good plan. It was important to showcase how the Distributed Algorithm balances latency vs efficiency (be it Distributed PPO). Ran out of time. </t>
  </si>
  <si>
    <t>sbandyopadhyay@ccny.cuny.edu</t>
  </si>
  <si>
    <t xml:space="preserve">90/90, 20/20. Good job on selecting the smaller GPT2 baseline model. That's a smart idea of sending activation differences from the last time. Great work to get distributed AI Agents working on the edge. Baseline via compressed training comparison is a good metric. Excellent job presenting on time. Very well planned demonstrations. </t>
  </si>
  <si>
    <t>89/90. 19/20. Good identification of the problem statement. Too much text in the slides which can be improved. good baseline selection. Understanding of Distributed RAG can be improvised in the final report. Good identification of the failure modes of your project.</t>
  </si>
  <si>
    <t>90/90. 19/20. Good pitch on Multi-Agent AI Fault Tolerance. More visuals can be introduced in the slides. Your work is at the workshop level. Good work. You can improvise more for calculating visualizing distributed metrics. That would showcase your research success well.</t>
  </si>
  <si>
    <t xml:space="preserve">89/90. 20/20. Good focus on distributed planning. Good literature review. Focus on pipelined architecture is good as it connects with Distributed AI. The live simulation demonstration is great. I look forward to the discussion of the reward model. Very well planned presentation. Important to start the finetuning process. Distributed collaboration of AI models is a good metric to show. Good plan in the future, expanding to further simulation metrics. Pytorch and Pygame are being used for the project. </t>
  </si>
  <si>
    <t xml:space="preserve">90/90, 20/20. Very well presented research visualizations. Good modeling of research problem. Excellent identification of the baselines for distributed scheduling and identifying weaknesses. The understanding of sample complexity is great. Very good planning of the demonstration. </t>
  </si>
  <si>
    <t>90/90. 20/20 Good clarity of the algorithm trying to improve SeqComm. Ready for a a strong workshop paper and can work beyond in a conference paper. Visualization of the slides could be done better. Using IQL as a good baseline is good for comparative analysis. Good definition of spectral efficiency. Can improve your visualization metrics for latency.</t>
  </si>
  <si>
    <t>90/90. 20/20. Excellent job outlining the problem, looking into the baseline, showing your improvements, and making sure of your results with the right metrics. Excellent showcase of 2 experiments in 1 month. The 2D Gridworld experiment and the vision-based AR experiment. The research is already at a workshop level given the creation of a visual navigation environment. Metric visualization can be improved further for presentations (it is excellent for the report). Very good coordination between the 2 team members. Very smart way of modeling distributed testing methodology. Teacher/Student Evaluation of Distributed AI Architecture is very promising. Phase 1 + Phase 2 will lead to a strong workshop paper. Phase 3 will lead to a strong conference paper too. If you want you can collect AR data too taking AR equipments from my lab (it's optional for the class). Planning the demonstration ahead with installation of the dependencies is very good work. The compression of the AI models is really fast which shows the success of Distributed AI. The visualization in live demo is perfect.</t>
  </si>
  <si>
    <t>89/90, 19/20. Good pitch on research definition. You can explore different scales of drones. Slides have a lot of text. It's important to visualize more and have less text in slides. More descriptive text can be in the report. Good justification on why you are creating your own baseline. Team member coordination during presentation can be improved further.</t>
  </si>
  <si>
    <t>85/90, Problem definition is good as well as the research question. Baselines? (Gemma-3-1b), BigBench baseline, CPU utilization impact on distributed AI + lack of clarity on metric being used (-5), planning the experiments with timelines to the finals would be better</t>
  </si>
  <si>
    <t>Sean Jenkins</t>
  </si>
  <si>
    <t>Nice visualization of metrics. Need to work on keeping their presentations under reasonable time</t>
  </si>
  <si>
    <t>sjenkin002@citymail.cuny.edu</t>
  </si>
  <si>
    <t>Great project progress so far. Just need to plot their metrics in graphs/visualization</t>
  </si>
  <si>
    <t>Good research. Need more elaboration on matrix in the future</t>
  </si>
  <si>
    <t>Great progress on their model, good sense of what metrics they plan to use, good awareness of what they want to improve idea</t>
  </si>
  <si>
    <t>Very strong project progress, needs more visualization for metrics</t>
  </si>
  <si>
    <t>Great project progress. Good on baseline. Aware of what needs to be improved upon</t>
  </si>
  <si>
    <t xml:space="preserve">Nicely structured and great progress for their project so far. Aware of their challenges and what they need to improve on </t>
  </si>
  <si>
    <t>The graphs they generated were very detailed. They would just need to improve the run time on their project</t>
  </si>
  <si>
    <t>Shale</t>
  </si>
  <si>
    <t>Great presentation, just too many slides</t>
  </si>
  <si>
    <t>slucas001@citymail.cuny.edu</t>
  </si>
  <si>
    <t>Great presentation and cool project</t>
  </si>
  <si>
    <t>Great explanation of the project</t>
  </si>
  <si>
    <t>A lot of text on slides, but great presentation</t>
  </si>
  <si>
    <t>Shale Lucas</t>
  </si>
  <si>
    <t>Very cool research, and great use of their own baseline</t>
  </si>
  <si>
    <t>Very cool project and great visualization of the technology.</t>
  </si>
  <si>
    <t>Great presentation.</t>
  </si>
  <si>
    <t>Great presentation skills</t>
  </si>
  <si>
    <t>A lot of words on slides, but clear presentation.</t>
  </si>
  <si>
    <t>Project Group</t>
  </si>
  <si>
    <t>Saptarashmi Grade</t>
  </si>
  <si>
    <t>Grade out of 90</t>
  </si>
  <si>
    <t>Slide Extra Credit out of 20</t>
  </si>
  <si>
    <t>Saptarashmi Grade Sum</t>
  </si>
  <si>
    <t>Average Student Peer Grade</t>
  </si>
  <si>
    <t>Number of Responses</t>
  </si>
  <si>
    <t>Total Score</t>
  </si>
  <si>
    <t>Saptarashmi Comments</t>
  </si>
  <si>
    <t>S Vibe</t>
  </si>
  <si>
    <t>J Grade out of 90</t>
  </si>
  <si>
    <t>J Grade out of 20</t>
  </si>
  <si>
    <t>J Grade Sum</t>
  </si>
  <si>
    <t>Column 1</t>
  </si>
  <si>
    <t xml:space="preserve">Grades of 90 on Github driven Code Demonstration and Research Progress for Project Check-In 83/90,
Grades of 10 on Peer Review from Fellow Students on Research Progress and Code Demo: 9.461538462/10 
Grades out of 20 Bonus Points on Optional Slides 18/20 
Problem definition is good as well as the research question. Baselines? (Gemma-3-1b), BigBench baseline, CPU utilization impact on distributed AI + lack of clarity on metric being used (-7), slides could be presented with less text, more visualization on performance metrics with a plan and exercise of completing the presentation within 4 mins of allocated time (-2)planning the experiments with timelines to the finals would be better. </t>
  </si>
  <si>
    <t>103-107</t>
  </si>
  <si>
    <t>Student has not submitted or worked on the midterm project check-in code or presentation assignment. Student has not responded to Professor emails. Student has also communicated with student team member or collaborated to work in the student project.</t>
  </si>
  <si>
    <t xml:space="preserve">Grades of 90 on Github driven Code Demonstration and Research Progress for Project Check-In 83/90,
Grades of 10 on Peer Review from Fellow Students on Research Progress and Code Demo: 9.666666667/10 
Grades out of 20 Bonus Points on Optional Slides 19/20 
Good works on Bayesian semantic negotiation. Define alignment and semantic rewards in an improved fashion. Great work showcasing the baseline reward in the plot. Important to define the reward though. (-3) Good toy example of observation space. Visualization of slides can be improved with more symbology on the table. Extension to A2A is a good plan. It was important to showcase how the Distributed Algorithm balances latency vs efficiency (be it Distributed PPO). Ran out of time as the students took 8 minutes, double the allocated time of 4 mins. (-4). Class policy was to deduct 10 points once students move over 7 mins. Considering this to be an one-time occurrence, 4 points were deducted instead of 10. Slides should be practiced to have more clarity with less text (-1). </t>
  </si>
  <si>
    <t xml:space="preserve">Grades of 90 on Github driven Code Demonstration and Research Progress for Project Check-In 90/90,
Grades of 10 on Peer Review from Fellow Students on Research Progress and Code Demo: 9.6875/10 
Grades out of 20 Bonus Points on Optional Slides 20/20 
Very well presented research visualizations. Your research work is ready to be a strong workshop paper and can be enhanced further into a strong reputed conference or journal paper. Good modeling of research problem. Excellent identification of the baselines for distributed scheduling and identifying weaknesses. The understanding of sample complexity is great. Very good planning of the demonstration. </t>
  </si>
  <si>
    <t xml:space="preserve">Grades of 90 on Github driven Code Demonstration and Research Progress for Project Check-In 90/90,
Grades of 10 on Peer Review from Fellow Students on Research Progress and Code Demo: 9.733333333/10 
Grades out of 20 Bonus Points on Optional Slides 20/20 
Good job on selecting the smaller GPT2 baseline model. That's a smart idea of sending activation differences from the last time. Your research work is ready to be a strong workshop paper and can be enhanced further into a strong reputed conference paper. Great work to get distributed AI Agents working on the edge. Baseline via compressed training comparison is a good metric. Excellent job presenting on time. Very well planned demonstrations. </t>
  </si>
  <si>
    <t>Grades of 90 on Github driven Code Demonstration and Research Progress for Project Check-In 87/90,
Grades of 10 on Peer Review from Fellow Students on Research Progress and Code Demo: 9.75/10 
Grades out of 20 Bonus Points on Optional Slides 20/20 
Good focus on distributed planning. Good literature review. Focus on pipelined architecture is good as it connects with Distributed AI. The live simulation demonstration is great. I look forward to the discussion of the reward model. Very well planned presentation. Important to start the finetuning process. Distributed collaboration of AI models is a good metric to show. with an investigation of the reward signal in distributed settings. (-3) Good plan in the future, expanding to further simulation metrics. Pytorch and Pygame are being used for the project. Further experimentation and innovation can enable a strong workshop paper.</t>
  </si>
  <si>
    <t>115-118</t>
  </si>
  <si>
    <t>Grades of 90 on Github driven Code Demonstration and Research Progress for Project Check-In 86/90,
Grades of 10 on Peer Review from Fellow Students on Research Progress and Code Demo: 9.75/10 
Grades out of 20 Bonus Points on Optional Slides 17/20. 
Good pitch on research definition. You can explore different scales of drones. Slides have a lot of text. (-3). Results need to be interpretable, a comparative analysis can help with the narrative which is currently not there. (-1) It's important to visualize more and have less text in slides. (-3) More descriptive text can be in the report. Good justification on why you are creating your own baseline. Team member coordination during presentation can be improved further. Research paper can be polished with comparative analysis to make it stronger at the level of a strong workshop paper.</t>
  </si>
  <si>
    <t>111-115</t>
  </si>
  <si>
    <t>Grades of 90 on Github driven Code Demonstration and Research Progress for Project Check-In 88/90,
Grades of 10 on Peer Review from Fellow Students on Research Progress and Code Demo: 9.818181818/10 
Grades out of 20 Bonus Points on Optional Slides 18/20 
Good pitch on Multi-Agent AI Fault Tolerance. More visuals can be introduced in the slides. Your slides also have too many texts (-2) Your work is at the workshop level which can be polished further to make it a strong workshop and/or reputed conference paper. Good work. You can improvise more for calculating visualizing distributed metrics. (-2) That would showcase your research success well.</t>
  </si>
  <si>
    <t>Grades of 90 on Github driven Code Demonstration and Research Progress for Project Check-In 90/90,
Grades of 10 on Peer Review from Fellow Students on Research Progress and Code Demo: 9.833333333/10 
Grades out of 20 Bonus Points on Optional Slides 20/20 
Good clarity of the algorithm trying to improve SeqComm. Your research is ready to be a a strong workshop paper due to it's innovation and can work beyond in a reputed conference or journal paper. Visualization of the slides could be done better. Using IQL as a good baseline is good for comparative analysis. Good definition of spectral efficiency. Can improve your visualization metrics for latency.</t>
  </si>
  <si>
    <t>Grades of 90 on Github driven Code Demonstration and Research Progress for Project Check-In 87/90,
Grades of 10 on Peer Review from Fellow Students on Research Progress and Code Demo: 9.833333333/10, 
Grades out of 20 Bonus Points on Optional Slides 18/20 
Good identification of the problem statement. Too much text in the slides (-2) which can be improved during final presentation. good baseline selection. Understanding of Distributed RAG can be improvised in the final report. You can come to my office hours or email me as RAG can be slow which Distributed RAG can help to make it efficient. (-3) Good identification of the failure modes of your project. This work can have further experiments to let it be a good workshop paper.</t>
  </si>
  <si>
    <t>116-118</t>
  </si>
  <si>
    <t>Grades of 90 on Github driven Code Demonstration and Research Progress for Project Check-In 90/90,
Grades of 10 on Peer Review from Fellow Students on Research Progress and Code Demo: 9.916666667/10, 
Grades out of 20 Bonus Points on Optional Slides 20/20 
Excellent job outlining the problem, looking into the baseline, showing your improvements, and making sure of your results with the right metrics. Your research work is ready to be a strong workshop paper and can be enhanced further into a strong reputed conference paper. Excellent showcase of 2 experiments in 1 month. The 2D Gridworld experiment and the vision-based AR experiment. The research is already at a workshop level given the creation of a visual navigation environment. Metric visualization can be improved further for presentations (it is excellent for the report). Very good coordination between the 2 team members. Very smart way of modeling distributed testing methodology. Teacher/Student Evaluation of Distributed AI Architecture is very promising. Phase 1 + Phase 2 will lead to a strong workshop paper. Phase 3 will lead to a strong conference paper too. If you want you can collect AR data too taking AR equipments from my lab (it's optional for the class). Planning the demonstration ahead with installation of the dependencies is very good work. The compression of the AI models is really fast which shows the success of Distributed AI. The visualization in live demo is perfect.</t>
  </si>
  <si>
    <t>Mean</t>
  </si>
  <si>
    <t>Median</t>
  </si>
  <si>
    <t>16 Reponses</t>
  </si>
  <si>
    <t>Student Peer Average</t>
  </si>
  <si>
    <t>12 Responses</t>
  </si>
  <si>
    <t>13 Responses</t>
  </si>
  <si>
    <t>17 Responses</t>
  </si>
  <si>
    <t>14 Responses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</si>
</sst>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6F8F9"/>
          <bgColor rgb="FFF6F8F9"/>
        </patternFill>
      </fill>
      <border/>
    </dxf>
  </dxfs>
  <tableStyles count="17">
    <tableStyle count="4" pivot="0" name="Form Responses 1-style">
      <tableStyleElement dxfId="1" type="headerRow"/>
      <tableStyleElement dxfId="2" type="firstRowStripe"/>
      <tableStyleElement dxfId="3" type="secondRowStripe"/>
      <tableStyleElement dxfId="4" size="0" type="wholeTable"/>
    </tableStyle>
    <tableStyle count="4" pivot="0" name="Grades-v2-style">
      <tableStyleElement dxfId="1" type="headerRow"/>
      <tableStyleElement dxfId="2" type="firstRowStripe"/>
      <tableStyleElement dxfId="5" type="secondRowStripe"/>
      <tableStyleElement dxfId="4" size="0" type="wholeTable"/>
    </tableStyle>
    <tableStyle count="2" pivot="0" name="Grades-v2-style 2">
      <tableStyleElement dxfId="3" type="firstRowStripe"/>
      <tableStyleElement dxfId="2" type="secondRowStripe"/>
    </tableStyle>
    <tableStyle count="4" pivot="0" name="Grades-v1-style">
      <tableStyleElement dxfId="1" type="headerRow"/>
      <tableStyleElement dxfId="2" type="firstRowStripe"/>
      <tableStyleElement dxfId="5" type="secondRowStripe"/>
      <tableStyleElement dxfId="4" size="0" type="wholeTable"/>
    </tableStyle>
    <tableStyle count="2" pivot="0" name="Grades-v1-style 2">
      <tableStyleElement dxfId="3" type="firstRowStripe"/>
      <tableStyleElement dxfId="2" type="secondRowStripe"/>
    </tableStyle>
    <tableStyle count="2" pivot="0" name="Marcley Colin, Mustafa Ahmet Mu-style">
      <tableStyleElement dxfId="3" type="firstRowStripe"/>
      <tableStyleElement dxfId="2" type="secondRowStripe"/>
    </tableStyle>
    <tableStyle count="2" pivot="0" name="Peer Revi Marcley Colin, Mustaf-style">
      <tableStyleElement dxfId="3" type="firstRowStripe"/>
      <tableStyleElement dxfId="2" type="secondRowStripe"/>
    </tableStyle>
    <tableStyle count="2" pivot="0" name="Mehedi Hasan, Aidan Adonis Pena-style">
      <tableStyleElement dxfId="3" type="firstRowStripe"/>
      <tableStyleElement dxfId="2" type="secondRowStripe"/>
    </tableStyle>
    <tableStyle count="2" pivot="0" name="Peer Review for Mehedi Hasan, A-style">
      <tableStyleElement dxfId="3" type="firstRowStripe"/>
      <tableStyleElement dxfId="2" type="secondRowStripe"/>
    </tableStyle>
    <tableStyle count="2" pivot="0" name="Minning Liu, Emmanuelle Padilla-style">
      <tableStyleElement dxfId="3" type="firstRowStripe"/>
      <tableStyleElement dxfId="2" type="secondRowStripe"/>
    </tableStyle>
    <tableStyle count="2" pivot="0" name="Peer Review for Minning Liu, Em-style">
      <tableStyleElement dxfId="3" type="firstRowStripe"/>
      <tableStyleElement dxfId="2" type="secondRowStripe"/>
    </tableStyle>
    <tableStyle count="2" pivot="0" name="Parthkumar Joshi, Klea Meta-style">
      <tableStyleElement dxfId="3" type="firstRowStripe"/>
      <tableStyleElement dxfId="2" type="secondRowStripe"/>
    </tableStyle>
    <tableStyle count="2" pivot="0" name="Peer Review for Parthkumar Josh-style">
      <tableStyleElement dxfId="3" type="firstRowStripe"/>
      <tableStyleElement dxfId="2" type="secondRowStripe"/>
    </tableStyle>
    <tableStyle count="2" pivot="0" name="Rivaldo Lumelino, Alexandr Voro-style">
      <tableStyleElement dxfId="3" type="firstRowStripe"/>
      <tableStyleElement dxfId="2" type="secondRowStripe"/>
    </tableStyle>
    <tableStyle count="2" pivot="0" name=" Peer Review Rivaldo Lumelino, -style">
      <tableStyleElement dxfId="3" type="firstRowStripe"/>
      <tableStyleElement dxfId="2" type="secondRowStripe"/>
    </tableStyle>
    <tableStyle count="2" pivot="0" name="Shale Lucas, Omar Stevens-style">
      <tableStyleElement dxfId="3" type="firstRowStripe"/>
      <tableStyleElement dxfId="2" type="secondRowStripe"/>
    </tableStyle>
    <tableStyle count="2" pivot="0" name="Peer Review for Shale Lucas, Om-style">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4.xml.rels><?xml version="1.0" encoding="UTF-8" standalone="yes"?><Relationships xmlns="http://schemas.openxmlformats.org/package/2006/relationships"><Relationship Id="rId1" Type="http://schemas.openxmlformats.org/officeDocument/2006/relationships/image" Target="../media/Chart2.png"/></Relationships>
</file>

<file path=xl/drawings/_rels/drawing5.xml.rels><?xml version="1.0" encoding="UTF-8" standalone="yes"?><Relationships xmlns="http://schemas.openxmlformats.org/package/2006/relationships"><Relationship Id="rId1" Type="http://schemas.openxmlformats.org/officeDocument/2006/relationships/image" Target="../media/Chart2.png"/></Relationships>
</file>

<file path=xl/drawings/_rels/drawing6.xml.rels><?xml version="1.0" encoding="UTF-8" standalone="yes"?><Relationships xmlns="http://schemas.openxmlformats.org/package/2006/relationships"><Relationship Id="rId1" Type="http://schemas.openxmlformats.org/officeDocument/2006/relationships/image" Target="../media/Chart4.png"/></Relationships>
</file>

<file path=xl/drawings/_rels/drawing7.xml.rels><?xml version="1.0" encoding="UTF-8" standalone="yes"?><Relationships xmlns="http://schemas.openxmlformats.org/package/2006/relationships"><Relationship Id="rId1" Type="http://schemas.openxmlformats.org/officeDocument/2006/relationships/image" Target="../media/Chart4.png"/></Relationships>
</file>

<file path=xl/drawings/_rels/drawing8.xml.rels><?xml version="1.0" encoding="UTF-8" standalone="yes"?><Relationships xmlns="http://schemas.openxmlformats.org/package/2006/relationships"><Relationship Id="rId1" Type="http://schemas.openxmlformats.org/officeDocument/2006/relationships/image" Target="../media/Chart6.png"/></Relationships>
</file>

<file path=xl/drawings/_rels/drawing9.xml.rels><?xml version="1.0" encoding="UTF-8" standalone="yes"?><Relationships xmlns="http://schemas.openxmlformats.org/package/2006/relationships"><Relationship Id="rId1" Type="http://schemas.openxmlformats.org/officeDocument/2006/relationships/image" Target="../media/Chart6.png"/></Relationships>
</file>

<file path=xl/drawings/_rels/drawing10.xml.rels><?xml version="1.0" encoding="UTF-8" standalone="yes"?><Relationships xmlns="http://schemas.openxmlformats.org/package/2006/relationships"><Relationship Id="rId1" Type="http://schemas.openxmlformats.org/officeDocument/2006/relationships/image" Target="../media/Chart8.png"/></Relationships>
</file>

<file path=xl/drawings/_rels/drawing11.xml.rels><?xml version="1.0" encoding="UTF-8" standalone="yes"?><Relationships xmlns="http://schemas.openxmlformats.org/package/2006/relationships"><Relationship Id="rId1" Type="http://schemas.openxmlformats.org/officeDocument/2006/relationships/image" Target="../media/Chart8.png"/></Relationships>
</file>

<file path=xl/drawings/_rels/drawing12.xml.rels><?xml version="1.0" encoding="UTF-8" standalone="yes"?><Relationships xmlns="http://schemas.openxmlformats.org/package/2006/relationships"><Relationship Id="rId1" Type="http://schemas.openxmlformats.org/officeDocument/2006/relationships/image" Target="../media/Chart10.png"/></Relationships>
</file>

<file path=xl/drawings/_rels/drawing13.xml.rels><?xml version="1.0" encoding="UTF-8" standalone="yes"?><Relationships xmlns="http://schemas.openxmlformats.org/package/2006/relationships"><Relationship Id="rId1" Type="http://schemas.openxmlformats.org/officeDocument/2006/relationships/image" Target="../media/Chart10.png"/></Relationships>
</file>

<file path=xl/drawings/_rels/drawing14.xml.rels><?xml version="1.0" encoding="UTF-8" standalone="yes"?><Relationships xmlns="http://schemas.openxmlformats.org/package/2006/relationships"><Relationship Id="rId1" Type="http://schemas.openxmlformats.org/officeDocument/2006/relationships/image" Target="../media/Chart12.png"/></Relationships>
</file>

<file path=xl/drawings/_rels/drawing15.xml.rels><?xml version="1.0" encoding="UTF-8" standalone="yes"?><Relationships xmlns="http://schemas.openxmlformats.org/package/2006/relationships"><Relationship Id="rId1" Type="http://schemas.openxmlformats.org/officeDocument/2006/relationships/image" Target="../media/Chart12.png"/></Relationships>
</file>

<file path=xl/drawings/_rels/drawing16.xml.rels><?xml version="1.0" encoding="UTF-8" standalone="yes"?><Relationships xmlns="http://schemas.openxmlformats.org/package/2006/relationships"><Relationship Id="rId1" Type="http://schemas.openxmlformats.org/officeDocument/2006/relationships/image" Target="../media/Chart14.png"/></Relationships>
</file>

<file path=xl/drawings/_rels/drawing17.xml.rels><?xml version="1.0" encoding="UTF-8" standalone="yes"?><Relationships xmlns="http://schemas.openxmlformats.org/package/2006/relationships"><Relationship Id="rId1" Type="http://schemas.openxmlformats.org/officeDocument/2006/relationships/image" Target="../media/Chart14.png"/></Relationships>
</file>

<file path=xl/drawings/_rels/drawing18.xml.rels><?xml version="1.0" encoding="UTF-8" standalone="yes"?><Relationships xmlns="http://schemas.openxmlformats.org/package/2006/relationships"><Relationship Id="rId1" Type="http://schemas.openxmlformats.org/officeDocument/2006/relationships/image" Target="../media/Chart16.png"/></Relationships>
</file>

<file path=xl/drawings/_rels/drawing19.xml.rels><?xml version="1.0" encoding="UTF-8" standalone="yes"?><Relationships xmlns="http://schemas.openxmlformats.org/package/2006/relationships"><Relationship Id="rId1" Type="http://schemas.openxmlformats.org/officeDocument/2006/relationships/image" Target="../media/Chart16.png"/></Relationships>
</file>

<file path=xl/drawings/_rels/drawing20.xml.rels><?xml version="1.0" encoding="UTF-8" standalone="yes"?><Relationships xmlns="http://schemas.openxmlformats.org/package/2006/relationships"><Relationship Id="rId1" Type="http://schemas.openxmlformats.org/officeDocument/2006/relationships/image" Target="../media/Chart18.png"/></Relationships>
</file>

<file path=xl/drawings/_rels/drawing21.xml.rels><?xml version="1.0" encoding="UTF-8" standalone="yes"?><Relationships xmlns="http://schemas.openxmlformats.org/package/2006/relationships"><Relationship Id="rId1" Type="http://schemas.openxmlformats.org/officeDocument/2006/relationships/image" Target="../media/Chart18.png"/></Relationships>
</file>

<file path=xl/drawings/_rels/drawing22.xml.rels><?xml version="1.0" encoding="UTF-8" standalone="yes"?><Relationships xmlns="http://schemas.openxmlformats.org/package/2006/relationships"><Relationship Id="rId1" Type="http://schemas.openxmlformats.org/officeDocument/2006/relationships/image" Target="../media/Chart20.png"/></Relationships>
</file>

<file path=xl/drawings/_rels/drawing23.xml.rels><?xml version="1.0" encoding="UTF-8" standalone="yes"?><Relationships xmlns="http://schemas.openxmlformats.org/package/2006/relationships"><Relationship Id="rId1" Type="http://schemas.openxmlformats.org/officeDocument/2006/relationships/image" Target="../media/Chart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685800</xdr:colOff>
      <xdr:row>4</xdr:row>
      <xdr:rowOff>381000</xdr:rowOff>
    </xdr:from>
    <xdr:ext cx="5715000" cy="3533775"/>
    <xdr:pic>
      <xdr:nvPicPr>
        <xdr:cNvPr id="181150217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619125</xdr:colOff>
      <xdr:row>5</xdr:row>
      <xdr:rowOff>190500</xdr:rowOff>
    </xdr:from>
    <xdr:ext cx="5715000" cy="3533775"/>
    <xdr:pic>
      <xdr:nvPicPr>
        <xdr:cNvPr id="1404300578"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1152525</xdr:colOff>
      <xdr:row>17</xdr:row>
      <xdr:rowOff>190500</xdr:rowOff>
    </xdr:from>
    <xdr:ext cx="5715000" cy="3533775"/>
    <xdr:pic>
      <xdr:nvPicPr>
        <xdr:cNvPr id="73105131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790575</xdr:colOff>
      <xdr:row>15</xdr:row>
      <xdr:rowOff>171450</xdr:rowOff>
    </xdr:from>
    <xdr:ext cx="5715000" cy="3533775"/>
    <xdr:pic>
      <xdr:nvPicPr>
        <xdr:cNvPr id="198773040"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438150</xdr:colOff>
      <xdr:row>18</xdr:row>
      <xdr:rowOff>76200</xdr:rowOff>
    </xdr:from>
    <xdr:ext cx="5715000" cy="3533775"/>
    <xdr:pic>
      <xdr:nvPicPr>
        <xdr:cNvPr id="1425761722"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142875</xdr:colOff>
      <xdr:row>10</xdr:row>
      <xdr:rowOff>95250</xdr:rowOff>
    </xdr:from>
    <xdr:ext cx="5715000" cy="3533775"/>
    <xdr:pic>
      <xdr:nvPicPr>
        <xdr:cNvPr id="1336780142" name="Chart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333375</xdr:colOff>
      <xdr:row>16</xdr:row>
      <xdr:rowOff>76200</xdr:rowOff>
    </xdr:from>
    <xdr:ext cx="5715000" cy="3533775"/>
    <xdr:pic>
      <xdr:nvPicPr>
        <xdr:cNvPr id="1866458078" name="Chart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13</xdr:row>
      <xdr:rowOff>57150</xdr:rowOff>
    </xdr:from>
    <xdr:ext cx="5715000" cy="3533775"/>
    <xdr:pic>
      <xdr:nvPicPr>
        <xdr:cNvPr id="289087862" name="Chart8"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13</xdr:row>
      <xdr:rowOff>57150</xdr:rowOff>
    </xdr:from>
    <xdr:ext cx="5715000" cy="3533775"/>
    <xdr:pic>
      <xdr:nvPicPr>
        <xdr:cNvPr id="51898869" name="Chart9"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190500</xdr:colOff>
      <xdr:row>14</xdr:row>
      <xdr:rowOff>28575</xdr:rowOff>
    </xdr:from>
    <xdr:ext cx="5715000" cy="3533775"/>
    <xdr:pic>
      <xdr:nvPicPr>
        <xdr:cNvPr id="954714941" name="Chart1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619125</xdr:colOff>
      <xdr:row>16</xdr:row>
      <xdr:rowOff>38100</xdr:rowOff>
    </xdr:from>
    <xdr:ext cx="5715000" cy="3533775"/>
    <xdr:pic>
      <xdr:nvPicPr>
        <xdr:cNvPr id="1446851972" name="Chart1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342900</xdr:colOff>
      <xdr:row>8</xdr:row>
      <xdr:rowOff>57150</xdr:rowOff>
    </xdr:from>
    <xdr:ext cx="5715000" cy="3533775"/>
    <xdr:pic>
      <xdr:nvPicPr>
        <xdr:cNvPr id="2048650255" name="Chart1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19</xdr:row>
      <xdr:rowOff>152400</xdr:rowOff>
    </xdr:from>
    <xdr:ext cx="5715000" cy="3533775"/>
    <xdr:pic>
      <xdr:nvPicPr>
        <xdr:cNvPr id="1677163431" name="Chart1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219075</xdr:colOff>
      <xdr:row>14</xdr:row>
      <xdr:rowOff>19050</xdr:rowOff>
    </xdr:from>
    <xdr:ext cx="5715000" cy="3533775"/>
    <xdr:pic>
      <xdr:nvPicPr>
        <xdr:cNvPr id="861975893"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1247775</xdr:colOff>
      <xdr:row>15</xdr:row>
      <xdr:rowOff>161925</xdr:rowOff>
    </xdr:from>
    <xdr:ext cx="5715000" cy="3533775"/>
    <xdr:pic>
      <xdr:nvPicPr>
        <xdr:cNvPr id="367207162" name="Chart1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581025</xdr:colOff>
      <xdr:row>7</xdr:row>
      <xdr:rowOff>114300</xdr:rowOff>
    </xdr:from>
    <xdr:ext cx="5715000" cy="3533775"/>
    <xdr:pic>
      <xdr:nvPicPr>
        <xdr:cNvPr id="390158712" name="Chart1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457200</xdr:colOff>
      <xdr:row>15</xdr:row>
      <xdr:rowOff>161925</xdr:rowOff>
    </xdr:from>
    <xdr:ext cx="5715000" cy="3533775"/>
    <xdr:pic>
      <xdr:nvPicPr>
        <xdr:cNvPr id="589157313" name="Chart1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276225</xdr:colOff>
      <xdr:row>8</xdr:row>
      <xdr:rowOff>38100</xdr:rowOff>
    </xdr:from>
    <xdr:ext cx="5715000" cy="3533775"/>
    <xdr:pic>
      <xdr:nvPicPr>
        <xdr:cNvPr id="1083388858" name="Chart18"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771525</xdr:colOff>
      <xdr:row>16</xdr:row>
      <xdr:rowOff>57150</xdr:rowOff>
    </xdr:from>
    <xdr:ext cx="5715000" cy="3533775"/>
    <xdr:pic>
      <xdr:nvPicPr>
        <xdr:cNvPr id="538816747" name="Chart19"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219075</xdr:colOff>
      <xdr:row>6</xdr:row>
      <xdr:rowOff>104775</xdr:rowOff>
    </xdr:from>
    <xdr:ext cx="5715000" cy="3533775"/>
    <xdr:pic>
      <xdr:nvPicPr>
        <xdr:cNvPr id="816676402" name="Chart2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17</xdr:row>
      <xdr:rowOff>28575</xdr:rowOff>
    </xdr:from>
    <xdr:ext cx="5715000" cy="3533775"/>
    <xdr:pic>
      <xdr:nvPicPr>
        <xdr:cNvPr id="1496303200" name="Chart2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G141" displayName="Form_Responses" name="Form_Responses" id="1">
  <tableColumns count="7">
    <tableColumn name="Timestamp" id="1"/>
    <tableColumn name="Enter your name." id="2"/>
    <tableColumn name="Enter your ID" id="3"/>
    <tableColumn name="Whose project are you peer-reviewing?" id="4"/>
    <tableColumn name="What grade are you giving this project out of 10 as a part of your peer review?" id="5"/>
    <tableColumn name="Enter your brief feedback for your peer's projects. Briefly suggest what their projects are good at and what their projects can improve on. " id="6"/>
    <tableColumn name="Email Address" id="7"/>
  </tableColumns>
  <tableStyleInfo name="Form Responses 1-style" showColumnStripes="0" showFirstColumn="1" showLastColumn="1" showRowStripes="1"/>
</table>
</file>

<file path=xl/tables/table2.xml><?xml version="1.0" encoding="utf-8"?>
<table xmlns="http://schemas.openxmlformats.org/spreadsheetml/2006/main" ref="A1:N11" displayName="Table1_2" name="Table1_2" id="2">
  <tableColumns count="14">
    <tableColumn name="Project Group" id="1"/>
    <tableColumn name="Saptarashmi Grade" id="2"/>
    <tableColumn name="Grade out of 90" id="3"/>
    <tableColumn name="Slide Extra Credit out of 20" id="4"/>
    <tableColumn name="Saptarashmi Grade Sum" id="5"/>
    <tableColumn name="Average Student Peer Grade" id="6"/>
    <tableColumn name="Number of Responses" id="7"/>
    <tableColumn name="Total Score" id="8"/>
    <tableColumn name="Saptarashmi Comments" id="9"/>
    <tableColumn name="S Vibe" id="10"/>
    <tableColumn name="J Grade out of 90" id="11"/>
    <tableColumn name="J Grade out of 20" id="12"/>
    <tableColumn name="J Grade Sum" id="13"/>
    <tableColumn name="Column 1" id="14"/>
  </tableColumns>
  <tableStyleInfo name="Grades-v2-style" showColumnStripes="0" showFirstColumn="1" showLastColumn="1" showRowStripes="1"/>
</table>
</file>

<file path=xl/tables/table3.xml><?xml version="1.0" encoding="utf-8"?>
<table xmlns="http://schemas.openxmlformats.org/spreadsheetml/2006/main" headerRowCount="0" ref="A30:G39" displayName="Table_1" name="Table_1" id="3">
  <tableColumns count="7">
    <tableColumn name="Column1" id="1"/>
    <tableColumn name="Column2" id="2"/>
    <tableColumn name="Column3" id="3"/>
    <tableColumn name="Column4" id="4"/>
    <tableColumn name="Column5" id="5"/>
    <tableColumn name="Column6" id="6"/>
    <tableColumn name="Column7" id="7"/>
  </tableColumns>
  <tableStyleInfo name="Grades-v2-style 2" showColumnStripes="0" showFirstColumn="1" showLastColumn="1" showRowStripes="1"/>
</table>
</file>

<file path=xl/tables/table4.xml><?xml version="1.0" encoding="utf-8"?>
<table xmlns="http://schemas.openxmlformats.org/spreadsheetml/2006/main" ref="A1:L11" displayName="Table1" name="Table1" id="4">
  <tableColumns count="12">
    <tableColumn name="Project Group" id="1"/>
    <tableColumn name="Saptarashmi Grade" id="2"/>
    <tableColumn name="Grade out of 90" id="3"/>
    <tableColumn name="Slide Extra Credit out of 20" id="4"/>
    <tableColumn name="Saptarashmi Grade Sum" id="5"/>
    <tableColumn name="Average Student Peer Grade" id="6"/>
    <tableColumn name="Number of Responses" id="7"/>
    <tableColumn name="Total Score" id="8"/>
    <tableColumn name="S Vibe" id="9"/>
    <tableColumn name="J Grade out of 90" id="10"/>
    <tableColumn name="J Grade out of 20" id="11"/>
    <tableColumn name="J Grade Sum" id="12"/>
  </tableColumns>
  <tableStyleInfo name="Grades-v1-style" showColumnStripes="0" showFirstColumn="1" showLastColumn="1" showRowStripes="1"/>
</table>
</file>

<file path=xl/tables/table5.xml><?xml version="1.0" encoding="utf-8"?>
<table xmlns="http://schemas.openxmlformats.org/spreadsheetml/2006/main" headerRowCount="0" ref="G15:M24" displayName="Table_2" name="Table_2" id="5">
  <tableColumns count="7">
    <tableColumn name="Column1" id="1"/>
    <tableColumn name="Column2" id="2"/>
    <tableColumn name="Column3" id="3"/>
    <tableColumn name="Column4" id="4"/>
    <tableColumn name="Column5" id="5"/>
    <tableColumn name="Column6" id="6"/>
    <tableColumn name="Column7" id="7"/>
  </tableColumns>
  <tableStyleInfo name="Grades-v1-style 2" showColumnStripes="0" showFirstColumn="1" showLastColumn="1" showRowStripes="1"/>
</table>
</file>

<file path=xl/tables/table6.xml><?xml version="1.0" encoding="utf-8"?>
<table xmlns="http://schemas.openxmlformats.org/spreadsheetml/2006/main" headerRowCount="0" ref="A1:G13" displayName="Table_3" name="Table_3" id="6">
  <tableColumns count="7">
    <tableColumn name="Column1" id="1"/>
    <tableColumn name="Column2" id="2"/>
    <tableColumn name="Column3" id="3"/>
    <tableColumn name="Column4" id="4"/>
    <tableColumn name="Column5" id="5"/>
    <tableColumn name="Column6" id="6"/>
    <tableColumn name="Column7" id="7"/>
  </tableColumns>
  <tableStyleInfo name="Marcley Colin, Mustafa Ahmet Mu-style" showColumnStripes="0" showFirstColumn="1" showLastColumn="1" showRowStripes="1"/>
</table>
</file>

<file path=xl/tables/table7.xml><?xml version="1.0" encoding="utf-8"?>
<table xmlns="http://schemas.openxmlformats.org/spreadsheetml/2006/main" headerRowCount="0" ref="A1:G13" displayName="Table_4" name="Table_4" id="7">
  <tableColumns count="7">
    <tableColumn name="Column1" id="1"/>
    <tableColumn name="Column2" id="2"/>
    <tableColumn name="Column3" id="3"/>
    <tableColumn name="Column4" id="4"/>
    <tableColumn name="Column5" id="5"/>
    <tableColumn name="Column6" id="6"/>
    <tableColumn name="Column7" id="7"/>
  </tableColumns>
  <tableStyleInfo name="Peer Revi Marcley Colin, Mustaf-style" showColumnStripes="0" showFirstColumn="1" showLastColumn="1" showRowStripes="1"/>
</table>
</file>

<file path=xl/tables/table8.xml><?xml version="1.0" encoding="utf-8"?>
<table xmlns="http://schemas.openxmlformats.org/spreadsheetml/2006/main" headerRowCount="0" ref="A1:G17" displayName="Table_5" name="Table_5" id="8">
  <tableColumns count="7">
    <tableColumn name="Column1" id="1"/>
    <tableColumn name="Column2" id="2"/>
    <tableColumn name="Column3" id="3"/>
    <tableColumn name="Column4" id="4"/>
    <tableColumn name="Column5" id="5"/>
    <tableColumn name="Column6" id="6"/>
    <tableColumn name="Column7" id="7"/>
  </tableColumns>
  <tableStyleInfo name="Mehedi Hasan, Aidan Adonis Pena-style" showColumnStripes="0" showFirstColumn="1" showLastColumn="1" showRowStripes="1"/>
</table>
</file>

<file path=xl/tables/table9.xml><?xml version="1.0" encoding="utf-8"?>
<table xmlns="http://schemas.openxmlformats.org/spreadsheetml/2006/main" headerRowCount="0" ref="A1:G17" displayName="Table_6" name="Table_6" id="9">
  <tableColumns count="7">
    <tableColumn name="Column1" id="1"/>
    <tableColumn name="Column2" id="2"/>
    <tableColumn name="Column3" id="3"/>
    <tableColumn name="Column4" id="4"/>
    <tableColumn name="Column5" id="5"/>
    <tableColumn name="Column6" id="6"/>
    <tableColumn name="Column7" id="7"/>
  </tableColumns>
  <tableStyleInfo name="Peer Review for Mehedi Hasan, A-style" showColumnStripes="0" showFirstColumn="1" showLastColumn="1" showRowStripes="1"/>
</table>
</file>

<file path=xl/tables/table10.xml><?xml version="1.0" encoding="utf-8"?>
<table xmlns="http://schemas.openxmlformats.org/spreadsheetml/2006/main" headerRowCount="0" ref="A1:G13" displayName="Table_7" name="Table_7" id="10">
  <tableColumns count="7">
    <tableColumn name="Column1" id="1"/>
    <tableColumn name="Column2" id="2"/>
    <tableColumn name="Column3" id="3"/>
    <tableColumn name="Column4" id="4"/>
    <tableColumn name="Column5" id="5"/>
    <tableColumn name="Column6" id="6"/>
    <tableColumn name="Column7" id="7"/>
  </tableColumns>
  <tableStyleInfo name="Minning Liu, Emmanuelle Padilla-style" showColumnStripes="0" showFirstColumn="1" showLastColumn="1" showRowStripes="1"/>
</table>
</file>

<file path=xl/tables/table11.xml><?xml version="1.0" encoding="utf-8"?>
<table xmlns="http://schemas.openxmlformats.org/spreadsheetml/2006/main" headerRowCount="0" ref="A1:G13" displayName="Table_8" name="Table_8" id="11">
  <tableColumns count="7">
    <tableColumn name="Column1" id="1"/>
    <tableColumn name="Column2" id="2"/>
    <tableColumn name="Column3" id="3"/>
    <tableColumn name="Column4" id="4"/>
    <tableColumn name="Column5" id="5"/>
    <tableColumn name="Column6" id="6"/>
    <tableColumn name="Column7" id="7"/>
  </tableColumns>
  <tableStyleInfo name="Peer Review for Minning Liu, Em-style" showColumnStripes="0" showFirstColumn="1" showLastColumn="1" showRowStripes="1"/>
</table>
</file>

<file path=xl/tables/table12.xml><?xml version="1.0" encoding="utf-8"?>
<table xmlns="http://schemas.openxmlformats.org/spreadsheetml/2006/main" headerRowCount="0" ref="A1:G13" displayName="Table_9" name="Table_9" id="12">
  <tableColumns count="7">
    <tableColumn name="Column1" id="1"/>
    <tableColumn name="Column2" id="2"/>
    <tableColumn name="Column3" id="3"/>
    <tableColumn name="Column4" id="4"/>
    <tableColumn name="Column5" id="5"/>
    <tableColumn name="Column6" id="6"/>
    <tableColumn name="Column7" id="7"/>
  </tableColumns>
  <tableStyleInfo name="Parthkumar Joshi, Klea Meta-style" showColumnStripes="0" showFirstColumn="1" showLastColumn="1" showRowStripes="1"/>
</table>
</file>

<file path=xl/tables/table13.xml><?xml version="1.0" encoding="utf-8"?>
<table xmlns="http://schemas.openxmlformats.org/spreadsheetml/2006/main" headerRowCount="0" ref="A1:G13" displayName="Table_10" name="Table_10" id="13">
  <tableColumns count="7">
    <tableColumn name="Column1" id="1"/>
    <tableColumn name="Column2" id="2"/>
    <tableColumn name="Column3" id="3"/>
    <tableColumn name="Column4" id="4"/>
    <tableColumn name="Column5" id="5"/>
    <tableColumn name="Column6" id="6"/>
    <tableColumn name="Column7" id="7"/>
  </tableColumns>
  <tableStyleInfo name="Peer Review for Parthkumar Josh-style" showColumnStripes="0" showFirstColumn="1" showLastColumn="1" showRowStripes="1"/>
</table>
</file>

<file path=xl/tables/table14.xml><?xml version="1.0" encoding="utf-8"?>
<table xmlns="http://schemas.openxmlformats.org/spreadsheetml/2006/main" headerRowCount="0" ref="A1:G13" displayName="Table_11" name="Table_11" id="14">
  <tableColumns count="7">
    <tableColumn name="Column1" id="1"/>
    <tableColumn name="Column2" id="2"/>
    <tableColumn name="Column3" id="3"/>
    <tableColumn name="Column4" id="4"/>
    <tableColumn name="Column5" id="5"/>
    <tableColumn name="Column6" id="6"/>
    <tableColumn name="Column7" id="7"/>
  </tableColumns>
  <tableStyleInfo name="Rivaldo Lumelino, Alexandr Voro-style" showColumnStripes="0" showFirstColumn="1" showLastColumn="1" showRowStripes="1"/>
</table>
</file>

<file path=xl/tables/table15.xml><?xml version="1.0" encoding="utf-8"?>
<table xmlns="http://schemas.openxmlformats.org/spreadsheetml/2006/main" headerRowCount="0" ref="A1:G13" displayName="Table_12" name="Table_12" id="15">
  <tableColumns count="7">
    <tableColumn name="Column1" id="1"/>
    <tableColumn name="Column2" id="2"/>
    <tableColumn name="Column3" id="3"/>
    <tableColumn name="Column4" id="4"/>
    <tableColumn name="Column5" id="5"/>
    <tableColumn name="Column6" id="6"/>
    <tableColumn name="Column7" id="7"/>
  </tableColumns>
  <tableStyleInfo name=" Peer Review Rivaldo Lumelino, -style" showColumnStripes="0" showFirstColumn="1" showLastColumn="1" showRowStripes="1"/>
</table>
</file>

<file path=xl/tables/table16.xml><?xml version="1.0" encoding="utf-8"?>
<table xmlns="http://schemas.openxmlformats.org/spreadsheetml/2006/main" headerRowCount="0" ref="A1:G14" displayName="Table_13" name="Table_13" id="16">
  <tableColumns count="7">
    <tableColumn name="Column1" id="1"/>
    <tableColumn name="Column2" id="2"/>
    <tableColumn name="Column3" id="3"/>
    <tableColumn name="Column4" id="4"/>
    <tableColumn name="Column5" id="5"/>
    <tableColumn name="Column6" id="6"/>
    <tableColumn name="Column7" id="7"/>
  </tableColumns>
  <tableStyleInfo name="Shale Lucas, Omar Stevens-style" showColumnStripes="0" showFirstColumn="1" showLastColumn="1" showRowStripes="1"/>
</table>
</file>

<file path=xl/tables/table17.xml><?xml version="1.0" encoding="utf-8"?>
<table xmlns="http://schemas.openxmlformats.org/spreadsheetml/2006/main" headerRowCount="0" ref="A1:G14" displayName="Table_14" name="Table_14" id="17">
  <tableColumns count="7">
    <tableColumn name="Column1" id="1"/>
    <tableColumn name="Column2" id="2"/>
    <tableColumn name="Column3" id="3"/>
    <tableColumn name="Column4" id="4"/>
    <tableColumn name="Column5" id="5"/>
    <tableColumn name="Column6" id="6"/>
    <tableColumn name="Column7" id="7"/>
  </tableColumns>
  <tableStyleInfo name="Peer Review for Shale Lucas, O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4.xml"/><Relationship Id="rId5"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3.13"/>
    <col customWidth="1" min="5" max="5" width="37.63"/>
    <col customWidth="1" min="6" max="6" width="62.5"/>
    <col customWidth="1" min="7" max="13" width="18.88"/>
  </cols>
  <sheetData>
    <row r="1" ht="22.5" customHeight="1">
      <c r="A1" s="1" t="s">
        <v>0</v>
      </c>
      <c r="B1" s="1" t="s">
        <v>1</v>
      </c>
      <c r="C1" s="1" t="s">
        <v>2</v>
      </c>
      <c r="D1" s="1" t="s">
        <v>3</v>
      </c>
      <c r="E1" s="1" t="s">
        <v>4</v>
      </c>
      <c r="F1" s="1" t="s">
        <v>5</v>
      </c>
      <c r="G1" s="2" t="s">
        <v>6</v>
      </c>
    </row>
    <row r="2" ht="22.5" customHeight="1">
      <c r="A2" s="3">
        <v>45987.6311847801</v>
      </c>
      <c r="B2" s="4" t="s">
        <v>7</v>
      </c>
      <c r="C2" s="4">
        <v>2.373778E7</v>
      </c>
      <c r="D2" s="4" t="s">
        <v>8</v>
      </c>
      <c r="E2" s="4">
        <v>10.0</v>
      </c>
      <c r="F2" s="4" t="s">
        <v>9</v>
      </c>
      <c r="G2" s="4" t="s">
        <v>10</v>
      </c>
      <c r="I2" s="5" t="str">
        <f t="array" ref="I2:I14">UNIQUE(D:D)</f>
        <v>Whose project are you peer-reviewing?</v>
      </c>
    </row>
    <row r="3" ht="22.5" customHeight="1">
      <c r="A3" s="3">
        <v>45987.61977809027</v>
      </c>
      <c r="B3" s="4" t="s">
        <v>7</v>
      </c>
      <c r="C3" s="4">
        <v>2.373778E7</v>
      </c>
      <c r="D3" s="4" t="s">
        <v>11</v>
      </c>
      <c r="E3" s="4">
        <v>10.0</v>
      </c>
      <c r="F3" s="4" t="s">
        <v>12</v>
      </c>
      <c r="G3" s="4" t="s">
        <v>10</v>
      </c>
      <c r="I3" s="5" t="s">
        <v>8</v>
      </c>
    </row>
    <row r="4" ht="22.5" customHeight="1">
      <c r="A4" s="3">
        <v>45987.64821167824</v>
      </c>
      <c r="B4" s="4" t="s">
        <v>7</v>
      </c>
      <c r="C4" s="4">
        <v>2.373778E7</v>
      </c>
      <c r="D4" s="4" t="s">
        <v>13</v>
      </c>
      <c r="E4" s="4">
        <v>10.0</v>
      </c>
      <c r="F4" s="4" t="s">
        <v>14</v>
      </c>
      <c r="G4" s="4" t="s">
        <v>10</v>
      </c>
      <c r="I4" s="5" t="s">
        <v>11</v>
      </c>
    </row>
    <row r="5" ht="22.5" customHeight="1">
      <c r="A5" s="3">
        <v>45987.623984907405</v>
      </c>
      <c r="B5" s="4" t="s">
        <v>7</v>
      </c>
      <c r="C5" s="4">
        <v>2.373778E7</v>
      </c>
      <c r="D5" s="4" t="s">
        <v>15</v>
      </c>
      <c r="E5" s="4">
        <v>10.0</v>
      </c>
      <c r="F5" s="4" t="s">
        <v>16</v>
      </c>
      <c r="G5" s="4" t="s">
        <v>10</v>
      </c>
      <c r="I5" s="5" t="s">
        <v>13</v>
      </c>
    </row>
    <row r="6" ht="22.5" customHeight="1">
      <c r="A6" s="3">
        <v>45987.61548479166</v>
      </c>
      <c r="B6" s="4" t="s">
        <v>7</v>
      </c>
      <c r="C6" s="4">
        <v>2.373778E7</v>
      </c>
      <c r="D6" s="4" t="s">
        <v>17</v>
      </c>
      <c r="E6" s="4">
        <v>10.0</v>
      </c>
      <c r="F6" s="4" t="s">
        <v>18</v>
      </c>
      <c r="G6" s="4" t="s">
        <v>10</v>
      </c>
      <c r="I6" s="5" t="s">
        <v>15</v>
      </c>
    </row>
    <row r="7" ht="22.5" customHeight="1">
      <c r="A7" s="3">
        <v>45987.63862091435</v>
      </c>
      <c r="B7" s="4" t="s">
        <v>7</v>
      </c>
      <c r="C7" s="4">
        <v>2.373778E7</v>
      </c>
      <c r="D7" s="4" t="s">
        <v>19</v>
      </c>
      <c r="E7" s="4">
        <v>10.0</v>
      </c>
      <c r="F7" s="4" t="s">
        <v>20</v>
      </c>
      <c r="G7" s="4" t="s">
        <v>10</v>
      </c>
      <c r="I7" s="5" t="s">
        <v>17</v>
      </c>
    </row>
    <row r="8" ht="22.5" customHeight="1">
      <c r="A8" s="3">
        <v>45987.634243252316</v>
      </c>
      <c r="B8" s="4" t="s">
        <v>7</v>
      </c>
      <c r="C8" s="4">
        <v>2.373778E7</v>
      </c>
      <c r="D8" s="4" t="s">
        <v>21</v>
      </c>
      <c r="E8" s="4">
        <v>10.0</v>
      </c>
      <c r="F8" s="4" t="s">
        <v>9</v>
      </c>
      <c r="G8" s="4" t="s">
        <v>10</v>
      </c>
      <c r="I8" s="5" t="s">
        <v>19</v>
      </c>
    </row>
    <row r="9" ht="22.5" customHeight="1">
      <c r="A9" s="3">
        <v>45987.61101920139</v>
      </c>
      <c r="B9" s="4" t="s">
        <v>7</v>
      </c>
      <c r="C9" s="4">
        <v>2.373778E7</v>
      </c>
      <c r="D9" s="4" t="s">
        <v>22</v>
      </c>
      <c r="E9" s="4">
        <v>10.0</v>
      </c>
      <c r="F9" s="4" t="s">
        <v>23</v>
      </c>
      <c r="G9" s="4" t="s">
        <v>10</v>
      </c>
      <c r="I9" s="5" t="s">
        <v>21</v>
      </c>
    </row>
    <row r="10" ht="22.5" customHeight="1">
      <c r="A10" s="3">
        <v>45987.604121620374</v>
      </c>
      <c r="B10" s="4" t="s">
        <v>7</v>
      </c>
      <c r="C10" s="4">
        <v>2.373778E7</v>
      </c>
      <c r="D10" s="4" t="s">
        <v>24</v>
      </c>
      <c r="E10" s="4">
        <v>10.0</v>
      </c>
      <c r="F10" s="4" t="s">
        <v>25</v>
      </c>
      <c r="G10" s="4" t="s">
        <v>10</v>
      </c>
      <c r="I10" s="5" t="s">
        <v>22</v>
      </c>
    </row>
    <row r="11" ht="22.5" customHeight="1">
      <c r="A11" s="3">
        <v>45987.62014701389</v>
      </c>
      <c r="B11" s="4" t="s">
        <v>26</v>
      </c>
      <c r="C11" s="4">
        <v>2.415071E7</v>
      </c>
      <c r="D11" s="4" t="s">
        <v>11</v>
      </c>
      <c r="E11" s="4">
        <v>10.0</v>
      </c>
      <c r="F11" s="4" t="s">
        <v>27</v>
      </c>
      <c r="G11" s="4" t="s">
        <v>28</v>
      </c>
      <c r="I11" s="5" t="s">
        <v>24</v>
      </c>
    </row>
    <row r="12" ht="22.5" customHeight="1">
      <c r="A12" s="3">
        <v>45987.64927553241</v>
      </c>
      <c r="B12" s="4" t="s">
        <v>26</v>
      </c>
      <c r="C12" s="4">
        <v>2.415071E7</v>
      </c>
      <c r="D12" s="4" t="s">
        <v>13</v>
      </c>
      <c r="E12" s="4">
        <v>10.0</v>
      </c>
      <c r="F12" s="4" t="s">
        <v>29</v>
      </c>
      <c r="G12" s="4" t="s">
        <v>30</v>
      </c>
      <c r="I12" s="5" t="s">
        <v>31</v>
      </c>
    </row>
    <row r="13" ht="22.5" customHeight="1">
      <c r="A13" s="3">
        <v>45987.623982986115</v>
      </c>
      <c r="B13" s="4" t="s">
        <v>26</v>
      </c>
      <c r="C13" s="4">
        <v>2.415071E7</v>
      </c>
      <c r="D13" s="4" t="s">
        <v>15</v>
      </c>
      <c r="E13" s="4">
        <v>10.0</v>
      </c>
      <c r="F13" s="4" t="s">
        <v>32</v>
      </c>
      <c r="G13" s="4" t="s">
        <v>28</v>
      </c>
      <c r="I13" s="5" t="s">
        <v>33</v>
      </c>
    </row>
    <row r="14" ht="22.5" customHeight="1">
      <c r="A14" s="3">
        <v>45987.61679958334</v>
      </c>
      <c r="B14" s="4" t="s">
        <v>26</v>
      </c>
      <c r="C14" s="4">
        <v>2.415071E7</v>
      </c>
      <c r="D14" s="4" t="s">
        <v>17</v>
      </c>
      <c r="E14" s="4">
        <v>10.0</v>
      </c>
      <c r="F14" s="4" t="s">
        <v>34</v>
      </c>
      <c r="G14" s="4" t="s">
        <v>28</v>
      </c>
      <c r="I14" s="5"/>
    </row>
    <row r="15" ht="22.5" customHeight="1">
      <c r="A15" s="3">
        <v>45987.6390556713</v>
      </c>
      <c r="B15" s="4" t="s">
        <v>26</v>
      </c>
      <c r="C15" s="4">
        <v>2.415071E7</v>
      </c>
      <c r="D15" s="4" t="s">
        <v>19</v>
      </c>
      <c r="E15" s="4">
        <v>10.0</v>
      </c>
      <c r="F15" s="4" t="s">
        <v>35</v>
      </c>
      <c r="G15" s="4" t="s">
        <v>30</v>
      </c>
    </row>
    <row r="16" ht="22.5" customHeight="1">
      <c r="A16" s="3">
        <v>45987.635816793976</v>
      </c>
      <c r="B16" s="4" t="s">
        <v>26</v>
      </c>
      <c r="C16" s="4">
        <v>2.415071E7</v>
      </c>
      <c r="D16" s="4" t="s">
        <v>21</v>
      </c>
      <c r="E16" s="4">
        <v>10.0</v>
      </c>
      <c r="F16" s="4" t="s">
        <v>36</v>
      </c>
      <c r="G16" s="4" t="s">
        <v>30</v>
      </c>
    </row>
    <row r="17" ht="22.5" customHeight="1">
      <c r="A17" s="3">
        <v>45987.64494864583</v>
      </c>
      <c r="B17" s="4" t="s">
        <v>26</v>
      </c>
      <c r="C17" s="4">
        <v>2.415071E7</v>
      </c>
      <c r="D17" s="4" t="s">
        <v>31</v>
      </c>
      <c r="E17" s="4">
        <v>10.0</v>
      </c>
      <c r="F17" s="4" t="s">
        <v>37</v>
      </c>
      <c r="G17" s="4" t="s">
        <v>30</v>
      </c>
    </row>
    <row r="18" ht="22.5" customHeight="1">
      <c r="A18" s="3">
        <v>45987.606042858795</v>
      </c>
      <c r="B18" s="4" t="s">
        <v>26</v>
      </c>
      <c r="C18" s="4">
        <v>2.415071E7</v>
      </c>
      <c r="D18" s="4" t="s">
        <v>24</v>
      </c>
      <c r="E18" s="4">
        <v>9.0</v>
      </c>
      <c r="F18" s="4" t="s">
        <v>38</v>
      </c>
      <c r="G18" s="4" t="s">
        <v>28</v>
      </c>
    </row>
    <row r="19" ht="22.5" customHeight="1">
      <c r="A19" s="3">
        <v>45987.61177584491</v>
      </c>
      <c r="B19" s="4" t="s">
        <v>39</v>
      </c>
      <c r="C19" s="4">
        <v>2.415071E7</v>
      </c>
      <c r="D19" s="4" t="s">
        <v>22</v>
      </c>
      <c r="E19" s="4">
        <v>10.0</v>
      </c>
      <c r="F19" s="4" t="s">
        <v>40</v>
      </c>
      <c r="G19" s="4" t="s">
        <v>28</v>
      </c>
    </row>
    <row r="20" ht="22.5" customHeight="1">
      <c r="A20" s="3">
        <v>45987.6312620949</v>
      </c>
      <c r="B20" s="4" t="s">
        <v>41</v>
      </c>
      <c r="C20" s="4">
        <v>2.3940844E7</v>
      </c>
      <c r="D20" s="4" t="s">
        <v>8</v>
      </c>
      <c r="E20" s="4">
        <v>10.0</v>
      </c>
      <c r="F20" s="4" t="s">
        <v>42</v>
      </c>
      <c r="G20" s="4" t="s">
        <v>43</v>
      </c>
    </row>
    <row r="21" ht="22.5" customHeight="1">
      <c r="A21" s="3">
        <v>45987.63513767361</v>
      </c>
      <c r="B21" s="4" t="s">
        <v>41</v>
      </c>
      <c r="C21" s="4">
        <v>2.3940844E7</v>
      </c>
      <c r="D21" s="4" t="s">
        <v>21</v>
      </c>
      <c r="E21" s="4">
        <v>10.0</v>
      </c>
      <c r="F21" s="4" t="s">
        <v>44</v>
      </c>
      <c r="G21" s="4" t="s">
        <v>43</v>
      </c>
    </row>
    <row r="22" ht="22.5" customHeight="1">
      <c r="A22" s="3">
        <v>45987.62418888889</v>
      </c>
      <c r="B22" s="4" t="s">
        <v>45</v>
      </c>
      <c r="C22" s="4">
        <v>2.3940844E7</v>
      </c>
      <c r="D22" s="4" t="s">
        <v>11</v>
      </c>
      <c r="E22" s="4">
        <v>10.0</v>
      </c>
      <c r="F22" s="4" t="s">
        <v>46</v>
      </c>
      <c r="G22" s="4" t="s">
        <v>43</v>
      </c>
    </row>
    <row r="23" ht="22.5" customHeight="1">
      <c r="A23" s="3">
        <v>45987.65014856482</v>
      </c>
      <c r="B23" s="4" t="s">
        <v>45</v>
      </c>
      <c r="C23" s="4">
        <v>2.3940844E7</v>
      </c>
      <c r="D23" s="4" t="s">
        <v>13</v>
      </c>
      <c r="E23" s="4">
        <v>9.0</v>
      </c>
      <c r="F23" s="4" t="s">
        <v>47</v>
      </c>
      <c r="G23" s="4" t="s">
        <v>43</v>
      </c>
    </row>
    <row r="24" ht="22.5" customHeight="1">
      <c r="A24" s="3">
        <v>45987.61557101852</v>
      </c>
      <c r="B24" s="4" t="s">
        <v>45</v>
      </c>
      <c r="C24" s="4">
        <v>2.3940844E7</v>
      </c>
      <c r="D24" s="4" t="s">
        <v>17</v>
      </c>
      <c r="E24" s="4">
        <v>9.0</v>
      </c>
      <c r="F24" s="4" t="s">
        <v>48</v>
      </c>
      <c r="G24" s="4" t="s">
        <v>43</v>
      </c>
    </row>
    <row r="25" ht="22.5" customHeight="1">
      <c r="A25" s="3">
        <v>45987.63957342593</v>
      </c>
      <c r="B25" s="4" t="s">
        <v>45</v>
      </c>
      <c r="C25" s="4">
        <v>2.3940844E7</v>
      </c>
      <c r="D25" s="4" t="s">
        <v>19</v>
      </c>
      <c r="E25" s="4">
        <v>10.0</v>
      </c>
      <c r="F25" s="4" t="s">
        <v>49</v>
      </c>
      <c r="G25" s="4" t="s">
        <v>43</v>
      </c>
    </row>
    <row r="26" ht="22.5" customHeight="1">
      <c r="A26" s="3">
        <v>45987.6108608912</v>
      </c>
      <c r="B26" s="4" t="s">
        <v>45</v>
      </c>
      <c r="C26" s="4">
        <v>2.3940844E7</v>
      </c>
      <c r="D26" s="4" t="s">
        <v>22</v>
      </c>
      <c r="E26" s="4">
        <v>10.0</v>
      </c>
      <c r="F26" s="4" t="s">
        <v>50</v>
      </c>
      <c r="G26" s="4" t="s">
        <v>43</v>
      </c>
    </row>
    <row r="27" ht="22.5" customHeight="1">
      <c r="A27" s="3">
        <v>45987.644060763894</v>
      </c>
      <c r="B27" s="4" t="s">
        <v>45</v>
      </c>
      <c r="C27" s="4">
        <v>2.3940844E7</v>
      </c>
      <c r="D27" s="4" t="s">
        <v>31</v>
      </c>
      <c r="E27" s="4">
        <v>10.0</v>
      </c>
      <c r="F27" s="4" t="s">
        <v>51</v>
      </c>
      <c r="G27" s="4" t="s">
        <v>43</v>
      </c>
    </row>
    <row r="28" ht="22.5" customHeight="1">
      <c r="A28" s="3">
        <v>45987.604787696764</v>
      </c>
      <c r="B28" s="4" t="s">
        <v>45</v>
      </c>
      <c r="C28" s="4">
        <v>2.3940844E7</v>
      </c>
      <c r="D28" s="4" t="s">
        <v>24</v>
      </c>
      <c r="E28" s="4">
        <v>10.0</v>
      </c>
      <c r="F28" s="4" t="s">
        <v>52</v>
      </c>
      <c r="G28" s="4" t="s">
        <v>43</v>
      </c>
    </row>
    <row r="29" ht="22.5" customHeight="1">
      <c r="A29" s="3">
        <v>45987.60455662037</v>
      </c>
      <c r="B29" s="4" t="s">
        <v>53</v>
      </c>
      <c r="C29" s="4" t="s">
        <v>54</v>
      </c>
      <c r="D29" s="4" t="s">
        <v>24</v>
      </c>
      <c r="E29" s="4">
        <v>10.0</v>
      </c>
      <c r="F29" s="4" t="s">
        <v>55</v>
      </c>
      <c r="G29" s="4" t="s">
        <v>56</v>
      </c>
    </row>
    <row r="30" ht="22.5" customHeight="1">
      <c r="A30" s="3">
        <v>45987.63112651621</v>
      </c>
      <c r="B30" s="4" t="s">
        <v>57</v>
      </c>
      <c r="C30" s="4">
        <v>2.4306455E7</v>
      </c>
      <c r="D30" s="4" t="s">
        <v>8</v>
      </c>
      <c r="E30" s="4">
        <v>10.0</v>
      </c>
      <c r="F30" s="4" t="s">
        <v>58</v>
      </c>
      <c r="G30" s="4" t="s">
        <v>56</v>
      </c>
    </row>
    <row r="31" ht="22.5" customHeight="1">
      <c r="A31" s="3">
        <v>45987.624627997684</v>
      </c>
      <c r="B31" s="4" t="s">
        <v>57</v>
      </c>
      <c r="C31" s="4">
        <v>2.4306455E7</v>
      </c>
      <c r="D31" s="4" t="s">
        <v>15</v>
      </c>
      <c r="E31" s="4">
        <v>10.0</v>
      </c>
      <c r="F31" s="4" t="s">
        <v>59</v>
      </c>
      <c r="G31" s="4" t="s">
        <v>56</v>
      </c>
    </row>
    <row r="32" ht="22.5" customHeight="1">
      <c r="A32" s="3">
        <v>45987.615665254634</v>
      </c>
      <c r="B32" s="4" t="s">
        <v>57</v>
      </c>
      <c r="C32" s="4">
        <v>2.4306455E7</v>
      </c>
      <c r="D32" s="4" t="s">
        <v>17</v>
      </c>
      <c r="E32" s="4">
        <v>10.0</v>
      </c>
      <c r="F32" s="4" t="s">
        <v>60</v>
      </c>
      <c r="G32" s="4" t="s">
        <v>56</v>
      </c>
    </row>
    <row r="33" ht="22.5" customHeight="1">
      <c r="A33" s="3">
        <v>45987.63986239584</v>
      </c>
      <c r="B33" s="4" t="s">
        <v>57</v>
      </c>
      <c r="C33" s="4">
        <v>2.4306455E7</v>
      </c>
      <c r="D33" s="4" t="s">
        <v>19</v>
      </c>
      <c r="E33" s="4">
        <v>10.0</v>
      </c>
      <c r="F33" s="4" t="s">
        <v>61</v>
      </c>
      <c r="G33" s="4" t="s">
        <v>56</v>
      </c>
    </row>
    <row r="34" ht="22.5" customHeight="1">
      <c r="A34" s="3">
        <v>45987.63566335649</v>
      </c>
      <c r="B34" s="4" t="s">
        <v>57</v>
      </c>
      <c r="C34" s="4">
        <v>2.4306455E7</v>
      </c>
      <c r="D34" s="4" t="s">
        <v>21</v>
      </c>
      <c r="E34" s="4">
        <v>10.0</v>
      </c>
      <c r="F34" s="4" t="s">
        <v>62</v>
      </c>
      <c r="G34" s="4" t="s">
        <v>56</v>
      </c>
    </row>
    <row r="35" ht="22.5" customHeight="1">
      <c r="A35" s="3">
        <v>45987.611019108794</v>
      </c>
      <c r="B35" s="4" t="s">
        <v>57</v>
      </c>
      <c r="C35" s="4">
        <v>2.4306455E7</v>
      </c>
      <c r="D35" s="4" t="s">
        <v>22</v>
      </c>
      <c r="E35" s="4">
        <v>10.0</v>
      </c>
      <c r="F35" s="4" t="s">
        <v>63</v>
      </c>
      <c r="G35" s="4" t="s">
        <v>56</v>
      </c>
    </row>
    <row r="36" ht="22.5" customHeight="1">
      <c r="A36" s="3">
        <v>45987.644449513886</v>
      </c>
      <c r="B36" s="4" t="s">
        <v>57</v>
      </c>
      <c r="C36" s="4">
        <v>2.4306455E7</v>
      </c>
      <c r="D36" s="4" t="s">
        <v>31</v>
      </c>
      <c r="E36" s="4">
        <v>10.0</v>
      </c>
      <c r="F36" s="4" t="s">
        <v>64</v>
      </c>
      <c r="G36" s="4" t="s">
        <v>56</v>
      </c>
    </row>
    <row r="37" ht="22.5" customHeight="1">
      <c r="A37" s="3">
        <v>45987.62024185185</v>
      </c>
      <c r="B37" s="4" t="s">
        <v>65</v>
      </c>
      <c r="C37" s="4">
        <v>2.4306455E7</v>
      </c>
      <c r="D37" s="4" t="s">
        <v>11</v>
      </c>
      <c r="E37" s="4">
        <v>10.0</v>
      </c>
      <c r="F37" s="4" t="s">
        <v>66</v>
      </c>
      <c r="G37" s="4" t="s">
        <v>56</v>
      </c>
    </row>
    <row r="38" ht="22.5" customHeight="1">
      <c r="A38" s="3">
        <v>45987.62391744213</v>
      </c>
      <c r="B38" s="4" t="s">
        <v>67</v>
      </c>
      <c r="C38" s="4">
        <v>2.416559E7</v>
      </c>
      <c r="D38" s="4" t="s">
        <v>8</v>
      </c>
      <c r="E38" s="4">
        <v>10.0</v>
      </c>
      <c r="F38" s="4" t="s">
        <v>68</v>
      </c>
      <c r="G38" s="4" t="s">
        <v>69</v>
      </c>
    </row>
    <row r="39" ht="22.5" customHeight="1">
      <c r="A39" s="3">
        <v>45987.630852476854</v>
      </c>
      <c r="B39" s="4" t="s">
        <v>67</v>
      </c>
      <c r="C39" s="4">
        <v>2.416559E7</v>
      </c>
      <c r="D39" s="4" t="s">
        <v>8</v>
      </c>
      <c r="E39" s="4">
        <v>10.0</v>
      </c>
      <c r="F39" s="4" t="s">
        <v>70</v>
      </c>
      <c r="G39" s="4" t="s">
        <v>69</v>
      </c>
    </row>
    <row r="40" ht="22.5" customHeight="1">
      <c r="A40" s="3">
        <v>45987.620000532406</v>
      </c>
      <c r="B40" s="4" t="s">
        <v>67</v>
      </c>
      <c r="C40" s="4">
        <v>2.416559E7</v>
      </c>
      <c r="D40" s="4" t="s">
        <v>11</v>
      </c>
      <c r="E40" s="4">
        <v>10.0</v>
      </c>
      <c r="F40" s="4" t="s">
        <v>71</v>
      </c>
      <c r="G40" s="4" t="s">
        <v>69</v>
      </c>
    </row>
    <row r="41" ht="22.5" customHeight="1">
      <c r="A41" s="3">
        <v>45987.650900925924</v>
      </c>
      <c r="B41" s="4" t="s">
        <v>67</v>
      </c>
      <c r="C41" s="4">
        <v>2.416559E7</v>
      </c>
      <c r="D41" s="4" t="s">
        <v>13</v>
      </c>
      <c r="E41" s="4">
        <v>10.0</v>
      </c>
      <c r="F41" s="4" t="s">
        <v>72</v>
      </c>
      <c r="G41" s="4" t="s">
        <v>69</v>
      </c>
    </row>
    <row r="42" ht="22.5" customHeight="1">
      <c r="A42" s="3">
        <v>45987.62489766204</v>
      </c>
      <c r="B42" s="4" t="s">
        <v>67</v>
      </c>
      <c r="C42" s="4">
        <v>2.416559E7</v>
      </c>
      <c r="D42" s="4" t="s">
        <v>33</v>
      </c>
      <c r="E42" s="4">
        <v>10.0</v>
      </c>
      <c r="F42" s="4" t="s">
        <v>73</v>
      </c>
      <c r="G42" s="4" t="s">
        <v>69</v>
      </c>
    </row>
    <row r="43" ht="22.5" customHeight="1">
      <c r="A43" s="3">
        <v>45987.616399907405</v>
      </c>
      <c r="B43" s="4" t="s">
        <v>67</v>
      </c>
      <c r="C43" s="4">
        <v>2.416559E7</v>
      </c>
      <c r="D43" s="4" t="s">
        <v>17</v>
      </c>
      <c r="E43" s="4">
        <v>10.0</v>
      </c>
      <c r="F43" s="4" t="s">
        <v>74</v>
      </c>
      <c r="G43" s="4" t="s">
        <v>69</v>
      </c>
    </row>
    <row r="44" ht="22.5" customHeight="1">
      <c r="A44" s="3">
        <v>45987.6408185301</v>
      </c>
      <c r="B44" s="4" t="s">
        <v>67</v>
      </c>
      <c r="C44" s="4">
        <v>2.416559E7</v>
      </c>
      <c r="D44" s="4" t="s">
        <v>19</v>
      </c>
      <c r="E44" s="4">
        <v>10.0</v>
      </c>
      <c r="F44" s="4" t="s">
        <v>75</v>
      </c>
      <c r="G44" s="4" t="s">
        <v>69</v>
      </c>
    </row>
    <row r="45" ht="22.5" customHeight="1">
      <c r="A45" s="3">
        <v>45987.61099302083</v>
      </c>
      <c r="B45" s="4" t="s">
        <v>67</v>
      </c>
      <c r="C45" s="4">
        <v>2.416559E7</v>
      </c>
      <c r="D45" s="4" t="s">
        <v>22</v>
      </c>
      <c r="E45" s="4">
        <v>10.0</v>
      </c>
      <c r="F45" s="4" t="s">
        <v>76</v>
      </c>
      <c r="G45" s="4" t="s">
        <v>69</v>
      </c>
    </row>
    <row r="46" ht="22.5" customHeight="1">
      <c r="A46" s="3">
        <v>45987.644631006944</v>
      </c>
      <c r="B46" s="4" t="s">
        <v>67</v>
      </c>
      <c r="C46" s="4">
        <v>2.416559E7</v>
      </c>
      <c r="D46" s="4" t="s">
        <v>31</v>
      </c>
      <c r="E46" s="4">
        <v>9.0</v>
      </c>
      <c r="F46" s="4" t="s">
        <v>77</v>
      </c>
      <c r="G46" s="4" t="s">
        <v>69</v>
      </c>
    </row>
    <row r="47" ht="22.5" customHeight="1">
      <c r="A47" s="3">
        <v>45987.60569320602</v>
      </c>
      <c r="B47" s="4" t="s">
        <v>67</v>
      </c>
      <c r="C47" s="4">
        <v>2.416559E7</v>
      </c>
      <c r="D47" s="4" t="s">
        <v>24</v>
      </c>
      <c r="E47" s="4">
        <v>9.0</v>
      </c>
      <c r="F47" s="4" t="s">
        <v>78</v>
      </c>
      <c r="G47" s="4" t="s">
        <v>69</v>
      </c>
    </row>
    <row r="48" ht="22.5" customHeight="1">
      <c r="A48" s="3">
        <v>45987.63113844907</v>
      </c>
      <c r="B48" s="4" t="s">
        <v>79</v>
      </c>
      <c r="C48" s="4">
        <v>2.3983447E7</v>
      </c>
      <c r="D48" s="4" t="s">
        <v>8</v>
      </c>
      <c r="E48" s="4">
        <v>10.0</v>
      </c>
      <c r="F48" s="4" t="s">
        <v>80</v>
      </c>
      <c r="G48" s="4" t="s">
        <v>81</v>
      </c>
    </row>
    <row r="49" ht="22.5" customHeight="1">
      <c r="A49" s="3">
        <v>45987.62508979166</v>
      </c>
      <c r="B49" s="4" t="s">
        <v>79</v>
      </c>
      <c r="C49" s="4">
        <v>2.3983447E7</v>
      </c>
      <c r="D49" s="4" t="s">
        <v>11</v>
      </c>
      <c r="E49" s="4">
        <v>10.0</v>
      </c>
      <c r="F49" s="4" t="s">
        <v>82</v>
      </c>
      <c r="G49" s="4" t="s">
        <v>81</v>
      </c>
    </row>
    <row r="50" ht="22.5" customHeight="1">
      <c r="A50" s="3">
        <v>45987.650206875</v>
      </c>
      <c r="B50" s="4" t="s">
        <v>79</v>
      </c>
      <c r="C50" s="4">
        <v>2.3983447E7</v>
      </c>
      <c r="D50" s="4" t="s">
        <v>13</v>
      </c>
      <c r="E50" s="4">
        <v>10.0</v>
      </c>
      <c r="F50" s="4" t="s">
        <v>83</v>
      </c>
      <c r="G50" s="4" t="s">
        <v>81</v>
      </c>
    </row>
    <row r="51" ht="22.5" customHeight="1">
      <c r="A51" s="3">
        <v>45987.61757809028</v>
      </c>
      <c r="B51" s="4" t="s">
        <v>79</v>
      </c>
      <c r="C51" s="4">
        <v>2.3983447E7</v>
      </c>
      <c r="D51" s="4" t="s">
        <v>17</v>
      </c>
      <c r="E51" s="4">
        <v>10.0</v>
      </c>
      <c r="F51" s="4" t="s">
        <v>84</v>
      </c>
      <c r="G51" s="4" t="s">
        <v>81</v>
      </c>
    </row>
    <row r="52" ht="22.5" customHeight="1">
      <c r="A52" s="3">
        <v>45987.63987760417</v>
      </c>
      <c r="B52" s="4" t="s">
        <v>79</v>
      </c>
      <c r="C52" s="4">
        <v>2.3983447E7</v>
      </c>
      <c r="D52" s="4" t="s">
        <v>19</v>
      </c>
      <c r="E52" s="4">
        <v>10.0</v>
      </c>
      <c r="F52" s="4" t="s">
        <v>85</v>
      </c>
      <c r="G52" s="4" t="s">
        <v>81</v>
      </c>
    </row>
    <row r="53" ht="22.5" customHeight="1">
      <c r="A53" s="3">
        <v>45987.63606429398</v>
      </c>
      <c r="B53" s="4" t="s">
        <v>79</v>
      </c>
      <c r="C53" s="4">
        <v>2.3983447E7</v>
      </c>
      <c r="D53" s="4" t="s">
        <v>21</v>
      </c>
      <c r="E53" s="4">
        <v>10.0</v>
      </c>
      <c r="F53" s="4" t="s">
        <v>86</v>
      </c>
      <c r="G53" s="4" t="s">
        <v>81</v>
      </c>
    </row>
    <row r="54" ht="22.5" customHeight="1">
      <c r="A54" s="3">
        <v>45987.612214479166</v>
      </c>
      <c r="B54" s="4" t="s">
        <v>79</v>
      </c>
      <c r="C54" s="4">
        <v>2.3983447E7</v>
      </c>
      <c r="D54" s="4" t="s">
        <v>22</v>
      </c>
      <c r="E54" s="4">
        <v>10.0</v>
      </c>
      <c r="F54" s="4" t="s">
        <v>87</v>
      </c>
      <c r="G54" s="4" t="s">
        <v>81</v>
      </c>
    </row>
    <row r="55" ht="22.5" customHeight="1">
      <c r="A55" s="3">
        <v>45987.644478877315</v>
      </c>
      <c r="B55" s="4" t="s">
        <v>79</v>
      </c>
      <c r="C55" s="4">
        <v>2.3983447E7</v>
      </c>
      <c r="D55" s="4" t="s">
        <v>31</v>
      </c>
      <c r="E55" s="4">
        <v>10.0</v>
      </c>
      <c r="F55" s="4" t="s">
        <v>88</v>
      </c>
      <c r="G55" s="4" t="s">
        <v>81</v>
      </c>
    </row>
    <row r="56" ht="22.5" customHeight="1">
      <c r="A56" s="3">
        <v>45987.60457924768</v>
      </c>
      <c r="B56" s="4" t="s">
        <v>79</v>
      </c>
      <c r="C56" s="4">
        <v>2.3983447E7</v>
      </c>
      <c r="D56" s="4" t="s">
        <v>24</v>
      </c>
      <c r="E56" s="4">
        <v>10.0</v>
      </c>
      <c r="F56" s="4" t="s">
        <v>89</v>
      </c>
      <c r="G56" s="4" t="s">
        <v>81</v>
      </c>
    </row>
    <row r="57" ht="22.5" customHeight="1">
      <c r="A57" s="3">
        <v>45987.62644577546</v>
      </c>
      <c r="B57" s="4" t="s">
        <v>90</v>
      </c>
      <c r="C57" s="4">
        <v>2.3193343E7</v>
      </c>
      <c r="D57" s="4" t="s">
        <v>11</v>
      </c>
      <c r="E57" s="4">
        <v>10.0</v>
      </c>
      <c r="F57" s="4" t="s">
        <v>91</v>
      </c>
      <c r="G57" s="4" t="s">
        <v>92</v>
      </c>
    </row>
    <row r="58" ht="22.5" customHeight="1">
      <c r="A58" s="3">
        <v>45987.63162489583</v>
      </c>
      <c r="B58" s="4" t="s">
        <v>93</v>
      </c>
      <c r="C58" s="4">
        <v>2.4265502E7</v>
      </c>
      <c r="D58" s="4" t="s">
        <v>8</v>
      </c>
      <c r="E58" s="4">
        <v>10.0</v>
      </c>
      <c r="F58" s="4" t="s">
        <v>94</v>
      </c>
      <c r="G58" s="4" t="s">
        <v>95</v>
      </c>
    </row>
    <row r="59" ht="22.5" customHeight="1">
      <c r="A59" s="3">
        <v>45987.620670335644</v>
      </c>
      <c r="B59" s="4" t="s">
        <v>93</v>
      </c>
      <c r="C59" s="4">
        <v>2.4265502E7</v>
      </c>
      <c r="D59" s="4" t="s">
        <v>11</v>
      </c>
      <c r="E59" s="4">
        <v>10.0</v>
      </c>
      <c r="F59" s="4" t="s">
        <v>96</v>
      </c>
      <c r="G59" s="4" t="s">
        <v>95</v>
      </c>
    </row>
    <row r="60" ht="22.5" customHeight="1">
      <c r="A60" s="3">
        <v>45987.643832835645</v>
      </c>
      <c r="B60" s="4" t="s">
        <v>93</v>
      </c>
      <c r="C60" s="4">
        <v>2.4265502E7</v>
      </c>
      <c r="D60" s="4" t="s">
        <v>13</v>
      </c>
      <c r="E60" s="4">
        <v>10.0</v>
      </c>
      <c r="F60" s="4" t="s">
        <v>97</v>
      </c>
      <c r="G60" s="4" t="s">
        <v>95</v>
      </c>
    </row>
    <row r="61" ht="22.5" customHeight="1">
      <c r="A61" s="3">
        <v>45987.62143622685</v>
      </c>
      <c r="B61" s="4" t="s">
        <v>93</v>
      </c>
      <c r="C61" s="4">
        <v>2.4265502E7</v>
      </c>
      <c r="D61" s="4" t="s">
        <v>15</v>
      </c>
      <c r="E61" s="4">
        <v>10.0</v>
      </c>
      <c r="F61" s="4" t="s">
        <v>98</v>
      </c>
      <c r="G61" s="4" t="s">
        <v>95</v>
      </c>
    </row>
    <row r="62" ht="22.5" customHeight="1">
      <c r="A62" s="3">
        <v>45987.61585509259</v>
      </c>
      <c r="B62" s="4" t="s">
        <v>93</v>
      </c>
      <c r="C62" s="4">
        <v>2.4265502E7</v>
      </c>
      <c r="D62" s="4" t="s">
        <v>17</v>
      </c>
      <c r="E62" s="4">
        <v>10.0</v>
      </c>
      <c r="F62" s="4" t="s">
        <v>99</v>
      </c>
      <c r="G62" s="4" t="s">
        <v>95</v>
      </c>
    </row>
    <row r="63" ht="22.5" customHeight="1">
      <c r="A63" s="3">
        <v>45987.63600267361</v>
      </c>
      <c r="B63" s="4" t="s">
        <v>93</v>
      </c>
      <c r="C63" s="4">
        <v>2.4265502E7</v>
      </c>
      <c r="D63" s="4" t="s">
        <v>19</v>
      </c>
      <c r="E63" s="4">
        <v>10.0</v>
      </c>
      <c r="F63" s="4" t="s">
        <v>100</v>
      </c>
      <c r="G63" s="4" t="s">
        <v>95</v>
      </c>
    </row>
    <row r="64" ht="22.5" customHeight="1">
      <c r="A64" s="3">
        <v>45987.63664196759</v>
      </c>
      <c r="B64" s="4" t="s">
        <v>93</v>
      </c>
      <c r="C64" s="4">
        <v>2.4265502E7</v>
      </c>
      <c r="D64" s="4" t="s">
        <v>19</v>
      </c>
      <c r="E64" s="4">
        <v>10.0</v>
      </c>
      <c r="F64" s="4" t="s">
        <v>97</v>
      </c>
      <c r="G64" s="4" t="s">
        <v>95</v>
      </c>
    </row>
    <row r="65" ht="22.5" customHeight="1">
      <c r="A65" s="3">
        <v>45987.640420208336</v>
      </c>
      <c r="B65" s="4" t="s">
        <v>93</v>
      </c>
      <c r="C65" s="4">
        <v>2.4265502E7</v>
      </c>
      <c r="D65" s="4" t="s">
        <v>31</v>
      </c>
      <c r="E65" s="4">
        <v>10.0</v>
      </c>
      <c r="F65" s="4" t="s">
        <v>101</v>
      </c>
      <c r="G65" s="4" t="s">
        <v>95</v>
      </c>
    </row>
    <row r="66" ht="22.5" customHeight="1">
      <c r="A66" s="3">
        <v>45987.613010243054</v>
      </c>
      <c r="B66" s="4" t="s">
        <v>102</v>
      </c>
      <c r="C66" s="4">
        <v>2.4265502E7</v>
      </c>
      <c r="D66" s="4" t="s">
        <v>24</v>
      </c>
      <c r="E66" s="4">
        <v>10.0</v>
      </c>
      <c r="F66" s="4" t="s">
        <v>103</v>
      </c>
      <c r="G66" s="4" t="s">
        <v>95</v>
      </c>
    </row>
    <row r="67" ht="22.5" customHeight="1">
      <c r="A67" s="3">
        <v>45987.63027177083</v>
      </c>
      <c r="B67" s="4" t="s">
        <v>104</v>
      </c>
      <c r="C67" s="4">
        <v>2.3930236E7</v>
      </c>
      <c r="D67" s="4" t="s">
        <v>8</v>
      </c>
      <c r="E67" s="4">
        <v>10.0</v>
      </c>
      <c r="F67" s="4" t="s">
        <v>105</v>
      </c>
      <c r="G67" s="4" t="s">
        <v>106</v>
      </c>
    </row>
    <row r="68" ht="22.5" customHeight="1">
      <c r="A68" s="3">
        <v>45987.62068760417</v>
      </c>
      <c r="B68" s="4" t="s">
        <v>104</v>
      </c>
      <c r="C68" s="4">
        <v>2.3930236E7</v>
      </c>
      <c r="D68" s="4" t="s">
        <v>11</v>
      </c>
      <c r="E68" s="4">
        <v>10.0</v>
      </c>
      <c r="F68" s="4" t="s">
        <v>107</v>
      </c>
      <c r="G68" s="4" t="s">
        <v>106</v>
      </c>
    </row>
    <row r="69" ht="22.5" customHeight="1">
      <c r="A69" s="3">
        <v>45987.64768214121</v>
      </c>
      <c r="B69" s="4" t="s">
        <v>104</v>
      </c>
      <c r="C69" s="4">
        <v>2.3930236E7</v>
      </c>
      <c r="D69" s="4" t="s">
        <v>13</v>
      </c>
      <c r="E69" s="4">
        <v>10.0</v>
      </c>
      <c r="F69" s="4" t="s">
        <v>108</v>
      </c>
      <c r="G69" s="4" t="s">
        <v>106</v>
      </c>
    </row>
    <row r="70" ht="22.5" customHeight="1">
      <c r="A70" s="3">
        <v>45987.625223344905</v>
      </c>
      <c r="B70" s="4" t="s">
        <v>104</v>
      </c>
      <c r="C70" s="4">
        <v>2.3930236E7</v>
      </c>
      <c r="D70" s="4" t="s">
        <v>15</v>
      </c>
      <c r="E70" s="4">
        <v>10.0</v>
      </c>
      <c r="F70" s="4" t="s">
        <v>109</v>
      </c>
      <c r="G70" s="4" t="s">
        <v>106</v>
      </c>
    </row>
    <row r="71" ht="22.5" customHeight="1">
      <c r="A71" s="3">
        <v>45987.63973846065</v>
      </c>
      <c r="B71" s="4" t="s">
        <v>104</v>
      </c>
      <c r="C71" s="4">
        <v>2.3930236E7</v>
      </c>
      <c r="D71" s="4" t="s">
        <v>19</v>
      </c>
      <c r="E71" s="4">
        <v>8.0</v>
      </c>
      <c r="F71" s="4" t="s">
        <v>110</v>
      </c>
      <c r="G71" s="4" t="s">
        <v>106</v>
      </c>
    </row>
    <row r="72" ht="22.5" customHeight="1">
      <c r="A72" s="3">
        <v>45987.635677199076</v>
      </c>
      <c r="B72" s="4" t="s">
        <v>104</v>
      </c>
      <c r="C72" s="4">
        <v>2.3930236E7</v>
      </c>
      <c r="D72" s="4" t="s">
        <v>21</v>
      </c>
      <c r="E72" s="4">
        <v>10.0</v>
      </c>
      <c r="F72" s="4" t="s">
        <v>111</v>
      </c>
      <c r="G72" s="4" t="s">
        <v>106</v>
      </c>
    </row>
    <row r="73" ht="22.5" customHeight="1">
      <c r="A73" s="3">
        <v>45987.61094731481</v>
      </c>
      <c r="B73" s="4" t="s">
        <v>104</v>
      </c>
      <c r="C73" s="4">
        <v>2.3930236E7</v>
      </c>
      <c r="D73" s="4" t="s">
        <v>22</v>
      </c>
      <c r="E73" s="4">
        <v>10.0</v>
      </c>
      <c r="F73" s="4" t="s">
        <v>112</v>
      </c>
      <c r="G73" s="4" t="s">
        <v>106</v>
      </c>
    </row>
    <row r="74" ht="22.5" customHeight="1">
      <c r="A74" s="3">
        <v>45987.64442975694</v>
      </c>
      <c r="B74" s="4" t="s">
        <v>104</v>
      </c>
      <c r="C74" s="4">
        <v>2.3930236E7</v>
      </c>
      <c r="D74" s="4" t="s">
        <v>31</v>
      </c>
      <c r="E74" s="4">
        <v>10.0</v>
      </c>
      <c r="F74" s="4" t="s">
        <v>113</v>
      </c>
      <c r="G74" s="4" t="s">
        <v>106</v>
      </c>
    </row>
    <row r="75" ht="22.5" customHeight="1">
      <c r="A75" s="6">
        <v>45987.60407696759</v>
      </c>
      <c r="B75" s="7" t="s">
        <v>104</v>
      </c>
      <c r="C75" s="7">
        <v>2.3930236E7</v>
      </c>
      <c r="D75" s="7" t="s">
        <v>24</v>
      </c>
      <c r="E75" s="7">
        <v>10.0</v>
      </c>
      <c r="F75" s="7" t="s">
        <v>114</v>
      </c>
      <c r="G75" s="7" t="s">
        <v>106</v>
      </c>
    </row>
    <row r="76" ht="22.5" customHeight="1">
      <c r="A76" s="3">
        <v>45987.650015590276</v>
      </c>
      <c r="B76" s="4" t="s">
        <v>115</v>
      </c>
      <c r="C76" s="4" t="s">
        <v>116</v>
      </c>
      <c r="D76" s="4" t="s">
        <v>13</v>
      </c>
      <c r="E76" s="4">
        <v>10.0</v>
      </c>
      <c r="F76" s="4" t="s">
        <v>117</v>
      </c>
      <c r="G76" s="4" t="s">
        <v>118</v>
      </c>
    </row>
    <row r="77" ht="22.5" customHeight="1">
      <c r="A77" s="3">
        <v>45987.63772425926</v>
      </c>
      <c r="B77" s="4" t="s">
        <v>119</v>
      </c>
      <c r="C77" s="4">
        <v>2.4288209E7</v>
      </c>
      <c r="D77" s="4" t="s">
        <v>8</v>
      </c>
      <c r="E77" s="4">
        <v>10.0</v>
      </c>
      <c r="F77" s="4" t="s">
        <v>120</v>
      </c>
      <c r="G77" s="4" t="s">
        <v>118</v>
      </c>
    </row>
    <row r="78" ht="22.5" customHeight="1">
      <c r="A78" s="3">
        <v>45987.6408912037</v>
      </c>
      <c r="B78" s="4" t="s">
        <v>119</v>
      </c>
      <c r="C78" s="4">
        <v>2.4288209E7</v>
      </c>
      <c r="D78" s="4" t="s">
        <v>19</v>
      </c>
      <c r="E78" s="4">
        <v>10.0</v>
      </c>
      <c r="F78" s="4" t="s">
        <v>121</v>
      </c>
      <c r="G78" s="4" t="s">
        <v>118</v>
      </c>
    </row>
    <row r="79" ht="22.5" customHeight="1">
      <c r="A79" s="3">
        <v>45987.64456460648</v>
      </c>
      <c r="B79" s="4" t="s">
        <v>119</v>
      </c>
      <c r="C79" s="4">
        <v>2.4288209E7</v>
      </c>
      <c r="D79" s="4" t="s">
        <v>31</v>
      </c>
      <c r="E79" s="4">
        <v>10.0</v>
      </c>
      <c r="F79" s="4" t="s">
        <v>122</v>
      </c>
      <c r="G79" s="4" t="s">
        <v>118</v>
      </c>
    </row>
    <row r="80" ht="22.5" customHeight="1">
      <c r="A80" s="3">
        <v>45987.63113555555</v>
      </c>
      <c r="B80" s="4" t="s">
        <v>123</v>
      </c>
      <c r="C80" s="4">
        <v>2.414914E7</v>
      </c>
      <c r="D80" s="4" t="s">
        <v>8</v>
      </c>
      <c r="E80" s="4">
        <v>10.0</v>
      </c>
      <c r="F80" s="4" t="s">
        <v>124</v>
      </c>
      <c r="G80" s="4" t="s">
        <v>125</v>
      </c>
    </row>
    <row r="81" ht="22.5" customHeight="1">
      <c r="A81" s="3">
        <v>45987.620665243056</v>
      </c>
      <c r="B81" s="4" t="s">
        <v>123</v>
      </c>
      <c r="C81" s="4">
        <v>2.414914E7</v>
      </c>
      <c r="D81" s="4" t="s">
        <v>11</v>
      </c>
      <c r="E81" s="4">
        <v>9.0</v>
      </c>
      <c r="F81" s="4" t="s">
        <v>126</v>
      </c>
      <c r="G81" s="4" t="s">
        <v>125</v>
      </c>
    </row>
    <row r="82" ht="22.5" customHeight="1">
      <c r="A82" s="3">
        <v>45987.64867385417</v>
      </c>
      <c r="B82" s="4" t="s">
        <v>123</v>
      </c>
      <c r="C82" s="4">
        <v>2.414914E7</v>
      </c>
      <c r="D82" s="4" t="s">
        <v>13</v>
      </c>
      <c r="E82" s="4">
        <v>10.0</v>
      </c>
      <c r="F82" s="4" t="s">
        <v>127</v>
      </c>
      <c r="G82" s="4" t="s">
        <v>125</v>
      </c>
    </row>
    <row r="83" ht="22.5" customHeight="1">
      <c r="A83" s="3">
        <v>45987.624101747686</v>
      </c>
      <c r="B83" s="4" t="s">
        <v>123</v>
      </c>
      <c r="C83" s="4">
        <v>2.414914E7</v>
      </c>
      <c r="D83" s="4" t="s">
        <v>15</v>
      </c>
      <c r="E83" s="4">
        <v>10.0</v>
      </c>
      <c r="F83" s="4" t="s">
        <v>128</v>
      </c>
      <c r="G83" s="4" t="s">
        <v>125</v>
      </c>
    </row>
    <row r="84" ht="22.5" customHeight="1">
      <c r="A84" s="3">
        <v>45987.63974039352</v>
      </c>
      <c r="B84" s="4" t="s">
        <v>123</v>
      </c>
      <c r="C84" s="4">
        <v>2.414914E7</v>
      </c>
      <c r="D84" s="4" t="s">
        <v>19</v>
      </c>
      <c r="E84" s="4">
        <v>9.0</v>
      </c>
      <c r="F84" s="4" t="s">
        <v>129</v>
      </c>
      <c r="G84" s="4" t="s">
        <v>125</v>
      </c>
    </row>
    <row r="85" ht="22.5" customHeight="1">
      <c r="A85" s="3">
        <v>45987.63568875</v>
      </c>
      <c r="B85" s="4" t="s">
        <v>123</v>
      </c>
      <c r="C85" s="4">
        <v>2.414914E7</v>
      </c>
      <c r="D85" s="4" t="s">
        <v>21</v>
      </c>
      <c r="E85" s="4">
        <v>10.0</v>
      </c>
      <c r="F85" s="4" t="s">
        <v>130</v>
      </c>
      <c r="G85" s="4" t="s">
        <v>125</v>
      </c>
    </row>
    <row r="86" ht="22.5" customHeight="1">
      <c r="A86" s="3">
        <v>45987.611090300925</v>
      </c>
      <c r="B86" s="4" t="s">
        <v>123</v>
      </c>
      <c r="C86" s="4">
        <v>2.414914E7</v>
      </c>
      <c r="D86" s="4" t="s">
        <v>22</v>
      </c>
      <c r="E86" s="4">
        <v>9.0</v>
      </c>
      <c r="F86" s="4" t="s">
        <v>131</v>
      </c>
      <c r="G86" s="4" t="s">
        <v>125</v>
      </c>
    </row>
    <row r="87" ht="22.5" customHeight="1">
      <c r="A87" s="3">
        <v>45987.6444599074</v>
      </c>
      <c r="B87" s="4" t="s">
        <v>123</v>
      </c>
      <c r="C87" s="4">
        <v>2.414914E7</v>
      </c>
      <c r="D87" s="4" t="s">
        <v>31</v>
      </c>
      <c r="E87" s="4">
        <v>9.0</v>
      </c>
      <c r="F87" s="4" t="s">
        <v>129</v>
      </c>
      <c r="G87" s="4" t="s">
        <v>125</v>
      </c>
    </row>
    <row r="88" ht="22.5" customHeight="1">
      <c r="A88" s="3">
        <v>45987.60446991898</v>
      </c>
      <c r="B88" s="4" t="s">
        <v>123</v>
      </c>
      <c r="C88" s="4">
        <v>2.414914E7</v>
      </c>
      <c r="D88" s="4" t="s">
        <v>24</v>
      </c>
      <c r="E88" s="4">
        <v>9.0</v>
      </c>
      <c r="F88" s="4" t="s">
        <v>132</v>
      </c>
      <c r="G88" s="4" t="s">
        <v>125</v>
      </c>
    </row>
    <row r="89" ht="22.5" customHeight="1">
      <c r="A89" s="3">
        <v>45987.63174979167</v>
      </c>
      <c r="B89" s="4" t="s">
        <v>133</v>
      </c>
      <c r="C89" s="4">
        <v>2.3871862E7</v>
      </c>
      <c r="D89" s="4" t="s">
        <v>8</v>
      </c>
      <c r="E89" s="4">
        <v>8.0</v>
      </c>
      <c r="F89" s="4" t="s">
        <v>134</v>
      </c>
      <c r="G89" s="4" t="s">
        <v>135</v>
      </c>
    </row>
    <row r="90" ht="22.5" customHeight="1">
      <c r="A90" s="3">
        <v>45987.620867881946</v>
      </c>
      <c r="B90" s="4" t="s">
        <v>133</v>
      </c>
      <c r="C90" s="4">
        <v>2.3871862E7</v>
      </c>
      <c r="D90" s="4" t="s">
        <v>11</v>
      </c>
      <c r="E90" s="4">
        <v>8.0</v>
      </c>
      <c r="F90" s="4" t="s">
        <v>136</v>
      </c>
      <c r="G90" s="4" t="s">
        <v>135</v>
      </c>
    </row>
    <row r="91" ht="22.5" customHeight="1">
      <c r="A91" s="3">
        <v>45987.62456305556</v>
      </c>
      <c r="B91" s="4" t="s">
        <v>133</v>
      </c>
      <c r="C91" s="4">
        <v>2.3871862E7</v>
      </c>
      <c r="D91" s="4" t="s">
        <v>15</v>
      </c>
      <c r="E91" s="4">
        <v>9.0</v>
      </c>
      <c r="F91" s="4" t="s">
        <v>137</v>
      </c>
      <c r="G91" s="4" t="s">
        <v>135</v>
      </c>
    </row>
    <row r="92" ht="22.5" customHeight="1">
      <c r="A92" s="3">
        <v>45987.61953696759</v>
      </c>
      <c r="B92" s="4" t="s">
        <v>133</v>
      </c>
      <c r="C92" s="4">
        <v>2.3871862E7</v>
      </c>
      <c r="D92" s="4" t="s">
        <v>17</v>
      </c>
      <c r="E92" s="4">
        <v>8.0</v>
      </c>
      <c r="F92" s="4" t="s">
        <v>138</v>
      </c>
      <c r="G92" s="4" t="s">
        <v>135</v>
      </c>
    </row>
    <row r="93" ht="22.5" customHeight="1">
      <c r="A93" s="3">
        <v>45987.63926435185</v>
      </c>
      <c r="B93" s="4" t="s">
        <v>133</v>
      </c>
      <c r="C93" s="4">
        <v>2.3871862E7</v>
      </c>
      <c r="D93" s="4" t="s">
        <v>19</v>
      </c>
      <c r="E93" s="4">
        <v>9.0</v>
      </c>
      <c r="F93" s="4" t="s">
        <v>139</v>
      </c>
      <c r="G93" s="4" t="s">
        <v>135</v>
      </c>
    </row>
    <row r="94" ht="22.5" customHeight="1">
      <c r="A94" s="3">
        <v>45987.63597791667</v>
      </c>
      <c r="B94" s="4" t="s">
        <v>133</v>
      </c>
      <c r="C94" s="4">
        <v>2.3871862E7</v>
      </c>
      <c r="D94" s="4" t="s">
        <v>21</v>
      </c>
      <c r="E94" s="4">
        <v>8.0</v>
      </c>
      <c r="F94" s="4" t="s">
        <v>140</v>
      </c>
      <c r="G94" s="4" t="s">
        <v>135</v>
      </c>
    </row>
    <row r="95" ht="22.5" customHeight="1">
      <c r="A95" s="3">
        <v>45987.644339872684</v>
      </c>
      <c r="B95" s="4" t="s">
        <v>133</v>
      </c>
      <c r="C95" s="4">
        <v>2.3871862E7</v>
      </c>
      <c r="D95" s="4" t="s">
        <v>31</v>
      </c>
      <c r="E95" s="4">
        <v>10.0</v>
      </c>
      <c r="F95" s="4" t="s">
        <v>141</v>
      </c>
      <c r="G95" s="4" t="s">
        <v>135</v>
      </c>
    </row>
    <row r="96" ht="22.5" customHeight="1">
      <c r="A96" s="3">
        <v>45987.61451943287</v>
      </c>
      <c r="B96" s="4" t="s">
        <v>133</v>
      </c>
      <c r="C96" s="4">
        <v>2.3871862E7</v>
      </c>
      <c r="D96" s="4" t="s">
        <v>24</v>
      </c>
      <c r="E96" s="4">
        <v>7.0</v>
      </c>
      <c r="F96" s="4" t="s">
        <v>142</v>
      </c>
      <c r="G96" s="4" t="s">
        <v>135</v>
      </c>
    </row>
    <row r="97" ht="22.5" customHeight="1">
      <c r="A97" s="3">
        <v>45987.63112613426</v>
      </c>
      <c r="B97" s="4" t="s">
        <v>143</v>
      </c>
      <c r="C97" s="4">
        <v>2.3759169E7</v>
      </c>
      <c r="D97" s="4" t="s">
        <v>8</v>
      </c>
      <c r="E97" s="4">
        <v>10.0</v>
      </c>
      <c r="F97" s="4" t="s">
        <v>144</v>
      </c>
      <c r="G97" s="4" t="s">
        <v>145</v>
      </c>
    </row>
    <row r="98" ht="22.5" customHeight="1">
      <c r="A98" s="3">
        <v>45987.61959844908</v>
      </c>
      <c r="B98" s="4" t="s">
        <v>143</v>
      </c>
      <c r="C98" s="4">
        <v>2.3759169E7</v>
      </c>
      <c r="D98" s="4" t="s">
        <v>11</v>
      </c>
      <c r="E98" s="4">
        <v>10.0</v>
      </c>
      <c r="F98" s="4" t="s">
        <v>146</v>
      </c>
      <c r="G98" s="4" t="s">
        <v>145</v>
      </c>
    </row>
    <row r="99" ht="22.5" customHeight="1">
      <c r="A99" s="3">
        <v>45987.62406152778</v>
      </c>
      <c r="B99" s="4" t="s">
        <v>143</v>
      </c>
      <c r="C99" s="4">
        <v>2.3759169E7</v>
      </c>
      <c r="D99" s="4" t="s">
        <v>15</v>
      </c>
      <c r="E99" s="4">
        <v>10.0</v>
      </c>
      <c r="F99" s="4" t="s">
        <v>147</v>
      </c>
      <c r="G99" s="4" t="s">
        <v>145</v>
      </c>
    </row>
    <row r="100" ht="22.5" customHeight="1">
      <c r="A100" s="3">
        <v>45987.61629237268</v>
      </c>
      <c r="B100" s="4" t="s">
        <v>143</v>
      </c>
      <c r="C100" s="4">
        <v>2.3759169E7</v>
      </c>
      <c r="D100" s="4" t="s">
        <v>17</v>
      </c>
      <c r="E100" s="4">
        <v>10.0</v>
      </c>
      <c r="F100" s="4" t="s">
        <v>148</v>
      </c>
      <c r="G100" s="4" t="s">
        <v>145</v>
      </c>
    </row>
    <row r="101" ht="22.5" customHeight="1">
      <c r="A101" s="3">
        <v>45987.63974837963</v>
      </c>
      <c r="B101" s="4" t="s">
        <v>143</v>
      </c>
      <c r="C101" s="4">
        <v>2.3759169E7</v>
      </c>
      <c r="D101" s="4" t="s">
        <v>19</v>
      </c>
      <c r="E101" s="4">
        <v>10.0</v>
      </c>
      <c r="F101" s="4" t="s">
        <v>149</v>
      </c>
      <c r="G101" s="4" t="s">
        <v>145</v>
      </c>
    </row>
    <row r="102" ht="22.5" customHeight="1">
      <c r="A102" s="3">
        <v>45987.6356841088</v>
      </c>
      <c r="B102" s="4" t="s">
        <v>143</v>
      </c>
      <c r="C102" s="4">
        <v>2.3759169E7</v>
      </c>
      <c r="D102" s="4" t="s">
        <v>21</v>
      </c>
      <c r="E102" s="4">
        <v>10.0</v>
      </c>
      <c r="F102" s="4" t="s">
        <v>150</v>
      </c>
      <c r="G102" s="4" t="s">
        <v>145</v>
      </c>
    </row>
    <row r="103" ht="22.5" customHeight="1">
      <c r="A103" s="3">
        <v>45987.61128869213</v>
      </c>
      <c r="B103" s="4" t="s">
        <v>143</v>
      </c>
      <c r="C103" s="4">
        <v>2.3759169E7</v>
      </c>
      <c r="D103" s="4" t="s">
        <v>22</v>
      </c>
      <c r="E103" s="4">
        <v>10.0</v>
      </c>
      <c r="F103" s="4" t="s">
        <v>151</v>
      </c>
      <c r="G103" s="4" t="s">
        <v>145</v>
      </c>
    </row>
    <row r="104" ht="22.5" customHeight="1">
      <c r="A104" s="3">
        <v>45987.605268761574</v>
      </c>
      <c r="B104" s="4" t="s">
        <v>143</v>
      </c>
      <c r="C104" s="4">
        <v>2.3759169E7</v>
      </c>
      <c r="D104" s="4" t="s">
        <v>24</v>
      </c>
      <c r="E104" s="4">
        <v>10.0</v>
      </c>
      <c r="F104" s="4" t="s">
        <v>152</v>
      </c>
      <c r="G104" s="4" t="s">
        <v>145</v>
      </c>
    </row>
    <row r="105" ht="22.5" customHeight="1">
      <c r="A105" s="3">
        <v>45987.63313940972</v>
      </c>
      <c r="B105" s="4" t="s">
        <v>153</v>
      </c>
      <c r="C105" s="4">
        <v>2.399838E7</v>
      </c>
      <c r="D105" s="4" t="s">
        <v>8</v>
      </c>
      <c r="E105" s="4">
        <v>10.0</v>
      </c>
      <c r="F105" s="4" t="s">
        <v>154</v>
      </c>
      <c r="G105" s="4" t="s">
        <v>155</v>
      </c>
    </row>
    <row r="106" ht="22.5" customHeight="1">
      <c r="A106" s="3">
        <v>45987.632495949074</v>
      </c>
      <c r="B106" s="4" t="s">
        <v>153</v>
      </c>
      <c r="C106" s="4">
        <v>2.399838E7</v>
      </c>
      <c r="D106" s="4" t="s">
        <v>11</v>
      </c>
      <c r="E106" s="4">
        <v>10.0</v>
      </c>
      <c r="F106" s="4" t="s">
        <v>156</v>
      </c>
      <c r="G106" s="4" t="s">
        <v>155</v>
      </c>
    </row>
    <row r="107" ht="22.5" customHeight="1">
      <c r="A107" s="3">
        <v>45987.65125462963</v>
      </c>
      <c r="B107" s="4" t="s">
        <v>153</v>
      </c>
      <c r="C107" s="4">
        <v>2.399838E7</v>
      </c>
      <c r="D107" s="4" t="s">
        <v>13</v>
      </c>
      <c r="E107" s="4">
        <v>10.0</v>
      </c>
      <c r="F107" s="4" t="s">
        <v>100</v>
      </c>
      <c r="G107" s="4" t="s">
        <v>155</v>
      </c>
    </row>
    <row r="108" ht="22.5" customHeight="1">
      <c r="A108" s="3">
        <v>45987.632796261576</v>
      </c>
      <c r="B108" s="4" t="s">
        <v>153</v>
      </c>
      <c r="C108" s="4">
        <v>2.399838E7</v>
      </c>
      <c r="D108" s="4" t="s">
        <v>15</v>
      </c>
      <c r="E108" s="4">
        <v>10.0</v>
      </c>
      <c r="F108" s="4" t="s">
        <v>157</v>
      </c>
      <c r="G108" s="4" t="s">
        <v>155</v>
      </c>
    </row>
    <row r="109" ht="22.5" customHeight="1">
      <c r="A109" s="3">
        <v>45987.616523379635</v>
      </c>
      <c r="B109" s="4" t="s">
        <v>153</v>
      </c>
      <c r="C109" s="4">
        <v>2.399838E7</v>
      </c>
      <c r="D109" s="4" t="s">
        <v>17</v>
      </c>
      <c r="E109" s="4">
        <v>10.0</v>
      </c>
      <c r="F109" s="4" t="s">
        <v>158</v>
      </c>
      <c r="G109" s="4" t="s">
        <v>155</v>
      </c>
    </row>
    <row r="110" ht="22.5" customHeight="1">
      <c r="A110" s="3">
        <v>45987.634377083334</v>
      </c>
      <c r="B110" s="4" t="s">
        <v>153</v>
      </c>
      <c r="C110" s="4">
        <v>2.399838E7</v>
      </c>
      <c r="D110" s="4" t="s">
        <v>19</v>
      </c>
      <c r="E110" s="4">
        <v>10.0</v>
      </c>
      <c r="F110" s="4" t="s">
        <v>159</v>
      </c>
      <c r="G110" s="4" t="s">
        <v>155</v>
      </c>
    </row>
    <row r="111" ht="22.5" customHeight="1">
      <c r="A111" s="3">
        <v>45987.63345197917</v>
      </c>
      <c r="B111" s="4" t="s">
        <v>153</v>
      </c>
      <c r="C111" s="4">
        <v>2.399838E7</v>
      </c>
      <c r="D111" s="4" t="s">
        <v>21</v>
      </c>
      <c r="E111" s="4">
        <v>10.0</v>
      </c>
      <c r="F111" s="4" t="s">
        <v>160</v>
      </c>
      <c r="G111" s="4" t="s">
        <v>155</v>
      </c>
    </row>
    <row r="112" ht="22.5" customHeight="1">
      <c r="A112" s="3">
        <v>45987.611900289354</v>
      </c>
      <c r="B112" s="4" t="s">
        <v>161</v>
      </c>
      <c r="C112" s="4">
        <v>2.399838E7</v>
      </c>
      <c r="D112" s="4" t="s">
        <v>22</v>
      </c>
      <c r="E112" s="4">
        <v>10.0</v>
      </c>
      <c r="F112" s="4" t="s">
        <v>162</v>
      </c>
      <c r="G112" s="4" t="s">
        <v>155</v>
      </c>
    </row>
    <row r="113" ht="22.5" customHeight="1">
      <c r="A113" s="3">
        <v>45987.60483118056</v>
      </c>
      <c r="B113" s="4" t="s">
        <v>163</v>
      </c>
      <c r="C113" s="4">
        <v>2.399838E7</v>
      </c>
      <c r="D113" s="4" t="s">
        <v>24</v>
      </c>
      <c r="E113" s="4">
        <v>10.0</v>
      </c>
      <c r="F113" s="4" t="s">
        <v>164</v>
      </c>
      <c r="G113" s="4" t="s">
        <v>155</v>
      </c>
    </row>
    <row r="114" ht="22.5" customHeight="1">
      <c r="A114" s="3">
        <v>45987.64485070602</v>
      </c>
      <c r="B114" s="4" t="s">
        <v>165</v>
      </c>
      <c r="C114" s="4">
        <v>2.399838E7</v>
      </c>
      <c r="D114" s="4" t="s">
        <v>31</v>
      </c>
      <c r="E114" s="4">
        <v>9.0</v>
      </c>
      <c r="F114" s="4" t="s">
        <v>160</v>
      </c>
      <c r="G114" s="4" t="s">
        <v>155</v>
      </c>
    </row>
    <row r="115" ht="22.5" customHeight="1">
      <c r="A115" s="3">
        <v>45987.63108208333</v>
      </c>
      <c r="B115" s="4" t="s">
        <v>166</v>
      </c>
      <c r="C115" s="4" t="s">
        <v>167</v>
      </c>
      <c r="D115" s="4" t="s">
        <v>8</v>
      </c>
      <c r="E115" s="4">
        <v>9.0</v>
      </c>
      <c r="F115" s="4" t="s">
        <v>168</v>
      </c>
      <c r="G115" s="4" t="s">
        <v>169</v>
      </c>
    </row>
    <row r="116" ht="22.5" customHeight="1">
      <c r="A116" s="3">
        <v>45987.62060756944</v>
      </c>
      <c r="B116" s="4" t="s">
        <v>166</v>
      </c>
      <c r="C116" s="4" t="s">
        <v>167</v>
      </c>
      <c r="D116" s="4" t="s">
        <v>11</v>
      </c>
      <c r="E116" s="4">
        <v>10.0</v>
      </c>
      <c r="F116" s="4" t="s">
        <v>170</v>
      </c>
      <c r="G116" s="4" t="s">
        <v>169</v>
      </c>
    </row>
    <row r="117" ht="22.5" customHeight="1">
      <c r="A117" s="3">
        <v>45987.648481145836</v>
      </c>
      <c r="B117" s="4" t="s">
        <v>166</v>
      </c>
      <c r="C117" s="4" t="s">
        <v>167</v>
      </c>
      <c r="D117" s="4" t="s">
        <v>13</v>
      </c>
      <c r="E117" s="4">
        <v>10.0</v>
      </c>
      <c r="F117" s="4" t="s">
        <v>171</v>
      </c>
      <c r="G117" s="4" t="s">
        <v>169</v>
      </c>
    </row>
    <row r="118" ht="22.5" customHeight="1">
      <c r="A118" s="3">
        <v>45987.62372928241</v>
      </c>
      <c r="B118" s="4" t="s">
        <v>166</v>
      </c>
      <c r="C118" s="4" t="s">
        <v>167</v>
      </c>
      <c r="D118" s="4" t="s">
        <v>15</v>
      </c>
      <c r="E118" s="4">
        <v>10.0</v>
      </c>
      <c r="F118" s="4" t="s">
        <v>172</v>
      </c>
      <c r="G118" s="4" t="s">
        <v>169</v>
      </c>
    </row>
    <row r="119" ht="22.5" customHeight="1">
      <c r="A119" s="3">
        <v>45987.615671203705</v>
      </c>
      <c r="B119" s="4" t="s">
        <v>166</v>
      </c>
      <c r="C119" s="4" t="s">
        <v>167</v>
      </c>
      <c r="D119" s="4" t="s">
        <v>17</v>
      </c>
      <c r="E119" s="4">
        <v>10.0</v>
      </c>
      <c r="F119" s="4" t="s">
        <v>173</v>
      </c>
      <c r="G119" s="4" t="s">
        <v>169</v>
      </c>
    </row>
    <row r="120" ht="22.5" customHeight="1">
      <c r="A120" s="3">
        <v>45987.63840603009</v>
      </c>
      <c r="B120" s="4" t="s">
        <v>166</v>
      </c>
      <c r="C120" s="4" t="s">
        <v>167</v>
      </c>
      <c r="D120" s="4" t="s">
        <v>19</v>
      </c>
      <c r="E120" s="4">
        <v>10.0</v>
      </c>
      <c r="F120" s="4" t="s">
        <v>174</v>
      </c>
      <c r="G120" s="4" t="s">
        <v>169</v>
      </c>
    </row>
    <row r="121" ht="22.5" customHeight="1">
      <c r="A121" s="3">
        <v>45987.63606488426</v>
      </c>
      <c r="B121" s="4" t="s">
        <v>166</v>
      </c>
      <c r="C121" s="4" t="s">
        <v>167</v>
      </c>
      <c r="D121" s="4" t="s">
        <v>21</v>
      </c>
      <c r="E121" s="4">
        <v>10.0</v>
      </c>
      <c r="F121" s="4" t="s">
        <v>175</v>
      </c>
      <c r="G121" s="4" t="s">
        <v>169</v>
      </c>
    </row>
    <row r="122" ht="22.5" customHeight="1">
      <c r="A122" s="3">
        <v>45987.610907650465</v>
      </c>
      <c r="B122" s="4" t="s">
        <v>166</v>
      </c>
      <c r="C122" s="4" t="s">
        <v>167</v>
      </c>
      <c r="D122" s="4" t="s">
        <v>22</v>
      </c>
      <c r="E122" s="4">
        <v>10.0</v>
      </c>
      <c r="F122" s="4" t="s">
        <v>176</v>
      </c>
      <c r="G122" s="4" t="s">
        <v>169</v>
      </c>
    </row>
    <row r="123" ht="22.5" customHeight="1">
      <c r="A123" s="3">
        <v>45987.645431412035</v>
      </c>
      <c r="B123" s="4" t="s">
        <v>166</v>
      </c>
      <c r="C123" s="4" t="s">
        <v>167</v>
      </c>
      <c r="D123" s="4" t="s">
        <v>31</v>
      </c>
      <c r="E123" s="4">
        <v>10.0</v>
      </c>
      <c r="F123" s="4" t="s">
        <v>177</v>
      </c>
      <c r="G123" s="4" t="s">
        <v>169</v>
      </c>
    </row>
    <row r="124" ht="22.5" customHeight="1">
      <c r="A124" s="3">
        <v>45987.604791226855</v>
      </c>
      <c r="B124" s="4" t="s">
        <v>166</v>
      </c>
      <c r="C124" s="4" t="s">
        <v>167</v>
      </c>
      <c r="D124" s="4" t="s">
        <v>24</v>
      </c>
      <c r="E124" s="4">
        <v>9.0</v>
      </c>
      <c r="F124" s="4" t="s">
        <v>178</v>
      </c>
      <c r="G124" s="4" t="s">
        <v>169</v>
      </c>
    </row>
    <row r="125" ht="22.5" customHeight="1">
      <c r="A125" s="3">
        <v>45987.631931192125</v>
      </c>
      <c r="B125" s="4" t="s">
        <v>179</v>
      </c>
      <c r="C125" s="4">
        <v>2.4022604E7</v>
      </c>
      <c r="D125" s="4" t="s">
        <v>8</v>
      </c>
      <c r="E125" s="4">
        <v>8.0</v>
      </c>
      <c r="F125" s="4" t="s">
        <v>180</v>
      </c>
      <c r="G125" s="4" t="s">
        <v>181</v>
      </c>
    </row>
    <row r="126" ht="22.5" customHeight="1">
      <c r="A126" s="3">
        <v>45987.622362152775</v>
      </c>
      <c r="B126" s="4" t="s">
        <v>179</v>
      </c>
      <c r="C126" s="4">
        <v>2.4022604E7</v>
      </c>
      <c r="D126" s="4" t="s">
        <v>11</v>
      </c>
      <c r="E126" s="4">
        <v>9.0</v>
      </c>
      <c r="F126" s="4" t="s">
        <v>182</v>
      </c>
      <c r="G126" s="4" t="s">
        <v>181</v>
      </c>
    </row>
    <row r="127" ht="22.5" customHeight="1">
      <c r="A127" s="3">
        <v>45987.62487813657</v>
      </c>
      <c r="B127" s="4" t="s">
        <v>179</v>
      </c>
      <c r="C127" s="4">
        <v>2.4022604E7</v>
      </c>
      <c r="D127" s="4" t="s">
        <v>15</v>
      </c>
      <c r="E127" s="4">
        <v>9.0</v>
      </c>
      <c r="F127" s="4" t="s">
        <v>183</v>
      </c>
      <c r="G127" s="4" t="s">
        <v>181</v>
      </c>
    </row>
    <row r="128" ht="22.5" customHeight="1">
      <c r="A128" s="3">
        <v>45987.615693831016</v>
      </c>
      <c r="B128" s="4" t="s">
        <v>179</v>
      </c>
      <c r="C128" s="4">
        <v>2.4022604E7</v>
      </c>
      <c r="D128" s="4" t="s">
        <v>17</v>
      </c>
      <c r="E128" s="4">
        <v>10.0</v>
      </c>
      <c r="F128" s="4" t="s">
        <v>184</v>
      </c>
      <c r="G128" s="4" t="s">
        <v>181</v>
      </c>
    </row>
    <row r="129" ht="22.5" customHeight="1">
      <c r="A129" s="3">
        <v>45987.64447459491</v>
      </c>
      <c r="B129" s="4" t="s">
        <v>179</v>
      </c>
      <c r="C129" s="4">
        <v>2.4022604E7</v>
      </c>
      <c r="D129" s="4" t="s">
        <v>19</v>
      </c>
      <c r="E129" s="4">
        <v>9.0</v>
      </c>
      <c r="F129" s="4" t="s">
        <v>185</v>
      </c>
      <c r="G129" s="4" t="s">
        <v>181</v>
      </c>
    </row>
    <row r="130" ht="22.5" customHeight="1">
      <c r="A130" s="3">
        <v>45987.63581877315</v>
      </c>
      <c r="B130" s="4" t="s">
        <v>179</v>
      </c>
      <c r="C130" s="4">
        <v>2.4022604E7</v>
      </c>
      <c r="D130" s="4" t="s">
        <v>21</v>
      </c>
      <c r="E130" s="4">
        <v>10.0</v>
      </c>
      <c r="F130" s="4" t="s">
        <v>186</v>
      </c>
      <c r="G130" s="4" t="s">
        <v>181</v>
      </c>
    </row>
    <row r="131" ht="22.5" customHeight="1">
      <c r="A131" s="3">
        <v>45987.6109153588</v>
      </c>
      <c r="B131" s="4" t="s">
        <v>179</v>
      </c>
      <c r="C131" s="4">
        <v>2.4022604E7</v>
      </c>
      <c r="D131" s="4" t="s">
        <v>22</v>
      </c>
      <c r="E131" s="4">
        <v>10.0</v>
      </c>
      <c r="F131" s="4" t="s">
        <v>187</v>
      </c>
      <c r="G131" s="4" t="s">
        <v>181</v>
      </c>
    </row>
    <row r="132" ht="22.5" customHeight="1">
      <c r="A132" s="3">
        <v>45987.605243032405</v>
      </c>
      <c r="B132" s="4" t="s">
        <v>179</v>
      </c>
      <c r="C132" s="4">
        <v>2.4022604E7</v>
      </c>
      <c r="D132" s="4" t="s">
        <v>24</v>
      </c>
      <c r="E132" s="4">
        <v>9.0</v>
      </c>
      <c r="F132" s="4" t="s">
        <v>188</v>
      </c>
      <c r="G132" s="4" t="s">
        <v>181</v>
      </c>
    </row>
    <row r="133" ht="22.5" customHeight="1">
      <c r="A133" s="3">
        <v>45987.63138262731</v>
      </c>
      <c r="B133" s="4" t="s">
        <v>189</v>
      </c>
      <c r="C133" s="4">
        <v>2.4297779E7</v>
      </c>
      <c r="D133" s="4" t="s">
        <v>8</v>
      </c>
      <c r="E133" s="4">
        <v>9.0</v>
      </c>
      <c r="F133" s="4" t="s">
        <v>190</v>
      </c>
      <c r="G133" s="4" t="s">
        <v>191</v>
      </c>
    </row>
    <row r="134" ht="22.5" customHeight="1">
      <c r="A134" s="3">
        <v>45987.64994634259</v>
      </c>
      <c r="B134" s="4" t="s">
        <v>189</v>
      </c>
      <c r="C134" s="4">
        <v>2.4297779E7</v>
      </c>
      <c r="D134" s="4" t="s">
        <v>13</v>
      </c>
      <c r="E134" s="4">
        <v>10.0</v>
      </c>
      <c r="F134" s="4" t="s">
        <v>192</v>
      </c>
      <c r="G134" s="4" t="s">
        <v>191</v>
      </c>
    </row>
    <row r="135" ht="22.5" customHeight="1">
      <c r="A135" s="3">
        <v>45987.62422273148</v>
      </c>
      <c r="B135" s="4" t="s">
        <v>189</v>
      </c>
      <c r="C135" s="4">
        <v>2.4297779E7</v>
      </c>
      <c r="D135" s="4" t="s">
        <v>15</v>
      </c>
      <c r="E135" s="4">
        <v>10.0</v>
      </c>
      <c r="F135" s="4" t="s">
        <v>193</v>
      </c>
      <c r="G135" s="4" t="s">
        <v>191</v>
      </c>
    </row>
    <row r="136" ht="22.5" customHeight="1">
      <c r="A136" s="3">
        <v>45987.64585215278</v>
      </c>
      <c r="B136" s="4" t="s">
        <v>189</v>
      </c>
      <c r="C136" s="4">
        <v>2.4297779E7</v>
      </c>
      <c r="D136" s="4" t="s">
        <v>31</v>
      </c>
      <c r="E136" s="4">
        <v>10.0</v>
      </c>
      <c r="F136" s="4" t="s">
        <v>194</v>
      </c>
      <c r="G136" s="4" t="s">
        <v>191</v>
      </c>
    </row>
    <row r="137" ht="22.5" customHeight="1">
      <c r="A137" s="3">
        <v>45987.62083140046</v>
      </c>
      <c r="B137" s="4" t="s">
        <v>195</v>
      </c>
      <c r="C137" s="4">
        <v>2.4297779E7</v>
      </c>
      <c r="D137" s="4" t="s">
        <v>11</v>
      </c>
      <c r="E137" s="4">
        <v>10.0</v>
      </c>
      <c r="F137" s="4" t="s">
        <v>196</v>
      </c>
      <c r="G137" s="4" t="s">
        <v>191</v>
      </c>
    </row>
    <row r="138" ht="22.5" customHeight="1">
      <c r="A138" s="3">
        <v>45987.61636695602</v>
      </c>
      <c r="B138" s="4" t="s">
        <v>195</v>
      </c>
      <c r="C138" s="4">
        <v>2.4297779E7</v>
      </c>
      <c r="D138" s="4" t="s">
        <v>17</v>
      </c>
      <c r="E138" s="4">
        <v>10.0</v>
      </c>
      <c r="F138" s="4" t="s">
        <v>197</v>
      </c>
      <c r="G138" s="4" t="s">
        <v>191</v>
      </c>
    </row>
    <row r="139" ht="22.5" customHeight="1">
      <c r="A139" s="3">
        <v>45987.64014072917</v>
      </c>
      <c r="B139" s="4" t="s">
        <v>195</v>
      </c>
      <c r="C139" s="4">
        <v>2.4297779E7</v>
      </c>
      <c r="D139" s="4" t="s">
        <v>19</v>
      </c>
      <c r="E139" s="4">
        <v>10.0</v>
      </c>
      <c r="F139" s="4" t="s">
        <v>198</v>
      </c>
      <c r="G139" s="4" t="s">
        <v>191</v>
      </c>
    </row>
    <row r="140" ht="22.5" customHeight="1">
      <c r="A140" s="3">
        <v>45987.6360334375</v>
      </c>
      <c r="B140" s="4" t="s">
        <v>195</v>
      </c>
      <c r="C140" s="4">
        <v>2.4297779E7</v>
      </c>
      <c r="D140" s="4" t="s">
        <v>21</v>
      </c>
      <c r="E140" s="4">
        <v>10.0</v>
      </c>
      <c r="F140" s="4" t="s">
        <v>199</v>
      </c>
      <c r="G140" s="4" t="s">
        <v>191</v>
      </c>
    </row>
    <row r="141" ht="22.5" customHeight="1">
      <c r="A141" s="3">
        <v>45987.61302898148</v>
      </c>
      <c r="B141" s="4" t="s">
        <v>195</v>
      </c>
      <c r="C141" s="4">
        <v>2.4297779E7</v>
      </c>
      <c r="D141" s="4" t="s">
        <v>22</v>
      </c>
      <c r="E141" s="4">
        <v>10.0</v>
      </c>
      <c r="F141" s="4" t="s">
        <v>200</v>
      </c>
      <c r="G141" s="4" t="s">
        <v>191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5"/>
    <col customWidth="1" min="2" max="2" width="21.75"/>
    <col customWidth="1" min="3" max="3" width="16.38"/>
    <col customWidth="1" min="4" max="4" width="23.88"/>
    <col customWidth="1" min="5" max="6" width="20.25"/>
    <col customWidth="1" min="9" max="9" width="100.25"/>
    <col customWidth="1" min="11" max="11" width="18.0"/>
    <col customWidth="1" min="12" max="12" width="17.13"/>
  </cols>
  <sheetData>
    <row r="1" ht="22.5" customHeight="1">
      <c r="A1" s="8" t="s">
        <v>201</v>
      </c>
      <c r="B1" s="8" t="s">
        <v>202</v>
      </c>
      <c r="C1" s="9" t="s">
        <v>203</v>
      </c>
      <c r="D1" s="10" t="s">
        <v>204</v>
      </c>
      <c r="E1" s="10" t="s">
        <v>205</v>
      </c>
      <c r="F1" s="8" t="s">
        <v>206</v>
      </c>
      <c r="G1" s="9" t="s">
        <v>207</v>
      </c>
      <c r="H1" s="9" t="s">
        <v>208</v>
      </c>
      <c r="I1" s="9" t="s">
        <v>209</v>
      </c>
      <c r="J1" s="11" t="s">
        <v>210</v>
      </c>
      <c r="K1" s="9" t="s">
        <v>211</v>
      </c>
      <c r="L1" s="9" t="s">
        <v>212</v>
      </c>
      <c r="M1" s="9" t="s">
        <v>213</v>
      </c>
      <c r="N1" s="11" t="s">
        <v>214</v>
      </c>
    </row>
    <row r="2" ht="22.5" customHeight="1">
      <c r="A2" s="12" t="s">
        <v>24</v>
      </c>
      <c r="B2" s="4">
        <v>9.0</v>
      </c>
      <c r="C2" s="4">
        <v>83.0</v>
      </c>
      <c r="D2" s="4">
        <v>18.0</v>
      </c>
      <c r="E2" s="12">
        <f t="shared" ref="E2:E11" si="1">SUM(C2:D2)</f>
        <v>101</v>
      </c>
      <c r="F2" s="12">
        <v>9.461538461538462</v>
      </c>
      <c r="G2" s="4">
        <v>14.0</v>
      </c>
      <c r="H2" s="12">
        <v>110.46153846153847</v>
      </c>
      <c r="I2" s="4" t="s">
        <v>215</v>
      </c>
      <c r="J2" s="7" t="s">
        <v>216</v>
      </c>
      <c r="K2" s="4">
        <v>82.0</v>
      </c>
      <c r="L2" s="4">
        <v>19.0</v>
      </c>
      <c r="M2" s="12">
        <f t="shared" ref="M2:M11" si="2">SUM(K2:L2)</f>
        <v>101</v>
      </c>
      <c r="N2" s="7" t="s">
        <v>217</v>
      </c>
      <c r="P2" s="5">
        <v>110.46153846153847</v>
      </c>
    </row>
    <row r="3" ht="22.5" customHeight="1">
      <c r="A3" s="12" t="s">
        <v>8</v>
      </c>
      <c r="B3" s="4">
        <v>9.0</v>
      </c>
      <c r="C3" s="4">
        <v>83.0</v>
      </c>
      <c r="D3" s="4">
        <v>19.0</v>
      </c>
      <c r="E3" s="12">
        <f t="shared" si="1"/>
        <v>102</v>
      </c>
      <c r="F3" s="12">
        <v>9.666666666666666</v>
      </c>
      <c r="G3" s="4">
        <v>16.0</v>
      </c>
      <c r="H3" s="12">
        <v>111.66666666666667</v>
      </c>
      <c r="I3" s="4" t="s">
        <v>218</v>
      </c>
      <c r="J3" s="7" t="s">
        <v>216</v>
      </c>
      <c r="K3" s="4">
        <v>88.0</v>
      </c>
      <c r="L3" s="4">
        <v>17.0</v>
      </c>
      <c r="M3" s="12">
        <f t="shared" si="2"/>
        <v>105</v>
      </c>
      <c r="N3" s="13"/>
      <c r="P3" s="14">
        <v>0.0</v>
      </c>
    </row>
    <row r="4" ht="22.5" customHeight="1">
      <c r="A4" s="12" t="s">
        <v>19</v>
      </c>
      <c r="B4" s="4">
        <v>10.0</v>
      </c>
      <c r="C4" s="4">
        <v>90.0</v>
      </c>
      <c r="D4" s="4">
        <v>20.0</v>
      </c>
      <c r="E4" s="12">
        <f t="shared" si="1"/>
        <v>110</v>
      </c>
      <c r="F4" s="12">
        <v>9.6875</v>
      </c>
      <c r="G4" s="4">
        <v>17.0</v>
      </c>
      <c r="H4" s="12">
        <v>119.6875</v>
      </c>
      <c r="I4" s="4" t="s">
        <v>219</v>
      </c>
      <c r="J4" s="7">
        <v>120.0</v>
      </c>
      <c r="K4" s="4">
        <v>89.0</v>
      </c>
      <c r="L4" s="4">
        <v>18.0</v>
      </c>
      <c r="M4" s="12">
        <f t="shared" si="2"/>
        <v>107</v>
      </c>
      <c r="N4" s="13"/>
      <c r="P4" s="5">
        <v>111.66666666666667</v>
      </c>
    </row>
    <row r="5" ht="22.5" customHeight="1">
      <c r="A5" s="12" t="s">
        <v>11</v>
      </c>
      <c r="B5" s="4">
        <v>10.0</v>
      </c>
      <c r="C5" s="4">
        <v>90.0</v>
      </c>
      <c r="D5" s="4">
        <v>20.0</v>
      </c>
      <c r="E5" s="12">
        <f t="shared" si="1"/>
        <v>110</v>
      </c>
      <c r="F5" s="12">
        <v>9.733333333333333</v>
      </c>
      <c r="G5" s="4">
        <v>16.0</v>
      </c>
      <c r="H5" s="12">
        <v>119.73333333333333</v>
      </c>
      <c r="I5" s="4" t="s">
        <v>220</v>
      </c>
      <c r="J5" s="7">
        <v>120.0</v>
      </c>
      <c r="K5" s="4">
        <v>90.0</v>
      </c>
      <c r="L5" s="4">
        <v>19.0</v>
      </c>
      <c r="M5" s="12">
        <f t="shared" si="2"/>
        <v>109</v>
      </c>
      <c r="N5" s="13"/>
      <c r="P5" s="5">
        <v>111.66666666666667</v>
      </c>
    </row>
    <row r="6" ht="22.5" customHeight="1">
      <c r="A6" s="12" t="s">
        <v>17</v>
      </c>
      <c r="B6" s="4">
        <v>10.0</v>
      </c>
      <c r="C6" s="4">
        <v>87.0</v>
      </c>
      <c r="D6" s="4">
        <v>20.0</v>
      </c>
      <c r="E6" s="12">
        <f t="shared" si="1"/>
        <v>107</v>
      </c>
      <c r="F6" s="12">
        <v>9.75</v>
      </c>
      <c r="G6" s="4">
        <v>13.0</v>
      </c>
      <c r="H6" s="12">
        <v>116.75</v>
      </c>
      <c r="I6" s="4" t="s">
        <v>221</v>
      </c>
      <c r="J6" s="7" t="s">
        <v>222</v>
      </c>
      <c r="K6" s="4">
        <v>85.0</v>
      </c>
      <c r="L6" s="4">
        <v>19.0</v>
      </c>
      <c r="M6" s="12">
        <f t="shared" si="2"/>
        <v>104</v>
      </c>
      <c r="N6" s="13"/>
      <c r="P6" s="5">
        <v>119.6875</v>
      </c>
    </row>
    <row r="7" ht="22.5" customHeight="1">
      <c r="A7" s="12" t="s">
        <v>31</v>
      </c>
      <c r="B7" s="4">
        <v>10.0</v>
      </c>
      <c r="C7" s="4">
        <v>86.0</v>
      </c>
      <c r="D7" s="4">
        <v>17.0</v>
      </c>
      <c r="E7" s="12">
        <f t="shared" si="1"/>
        <v>103</v>
      </c>
      <c r="F7" s="12">
        <v>9.75</v>
      </c>
      <c r="G7" s="4">
        <v>13.0</v>
      </c>
      <c r="H7" s="12">
        <v>112.75</v>
      </c>
      <c r="I7" s="4" t="s">
        <v>223</v>
      </c>
      <c r="J7" s="7" t="s">
        <v>224</v>
      </c>
      <c r="K7" s="4">
        <v>86.0</v>
      </c>
      <c r="L7" s="4">
        <v>17.0</v>
      </c>
      <c r="M7" s="12">
        <f t="shared" si="2"/>
        <v>103</v>
      </c>
      <c r="N7" s="13"/>
      <c r="P7" s="5">
        <v>119.6875</v>
      </c>
    </row>
    <row r="8" ht="22.5" customHeight="1">
      <c r="A8" s="12" t="s">
        <v>15</v>
      </c>
      <c r="B8" s="4">
        <v>10.0</v>
      </c>
      <c r="C8" s="4">
        <v>88.0</v>
      </c>
      <c r="D8" s="4">
        <v>18.0</v>
      </c>
      <c r="E8" s="12">
        <f t="shared" si="1"/>
        <v>106</v>
      </c>
      <c r="F8" s="12">
        <v>9.818181818181818</v>
      </c>
      <c r="G8" s="4">
        <v>12.0</v>
      </c>
      <c r="H8" s="12">
        <v>115.81818181818181</v>
      </c>
      <c r="I8" s="4" t="s">
        <v>225</v>
      </c>
      <c r="J8" s="7">
        <v>119.0</v>
      </c>
      <c r="K8" s="4">
        <v>86.0</v>
      </c>
      <c r="L8" s="4">
        <v>19.0</v>
      </c>
      <c r="M8" s="12">
        <f t="shared" si="2"/>
        <v>105</v>
      </c>
      <c r="N8" s="13"/>
      <c r="P8" s="5">
        <v>119.73333333333333</v>
      </c>
    </row>
    <row r="9" ht="22.5" customHeight="1">
      <c r="A9" s="12" t="s">
        <v>21</v>
      </c>
      <c r="B9" s="4">
        <v>10.0</v>
      </c>
      <c r="C9" s="4">
        <v>90.0</v>
      </c>
      <c r="D9" s="4">
        <v>20.0</v>
      </c>
      <c r="E9" s="12">
        <f t="shared" si="1"/>
        <v>110</v>
      </c>
      <c r="F9" s="12">
        <v>9.833333333333334</v>
      </c>
      <c r="G9" s="4">
        <v>13.0</v>
      </c>
      <c r="H9" s="12">
        <v>119.83333333333333</v>
      </c>
      <c r="I9" s="4" t="s">
        <v>226</v>
      </c>
      <c r="J9" s="7">
        <v>120.0</v>
      </c>
      <c r="K9" s="4">
        <v>87.0</v>
      </c>
      <c r="L9" s="4">
        <v>17.0</v>
      </c>
      <c r="M9" s="12">
        <f t="shared" si="2"/>
        <v>104</v>
      </c>
      <c r="N9" s="13"/>
      <c r="P9" s="5">
        <v>119.73333333333333</v>
      </c>
    </row>
    <row r="10" ht="22.5" customHeight="1">
      <c r="A10" s="12" t="s">
        <v>13</v>
      </c>
      <c r="B10" s="4">
        <v>10.0</v>
      </c>
      <c r="C10" s="4">
        <v>87.0</v>
      </c>
      <c r="D10" s="4">
        <v>18.0</v>
      </c>
      <c r="E10" s="12">
        <f t="shared" si="1"/>
        <v>105</v>
      </c>
      <c r="F10" s="12">
        <v>9.916666666666666</v>
      </c>
      <c r="G10" s="4">
        <v>12.0</v>
      </c>
      <c r="H10" s="12">
        <v>114.91666666666667</v>
      </c>
      <c r="I10" s="4" t="s">
        <v>227</v>
      </c>
      <c r="J10" s="7" t="s">
        <v>228</v>
      </c>
      <c r="K10" s="4">
        <v>87.0</v>
      </c>
      <c r="L10" s="4">
        <v>17.0</v>
      </c>
      <c r="M10" s="12">
        <f t="shared" si="2"/>
        <v>104</v>
      </c>
      <c r="N10" s="13"/>
      <c r="P10" s="5">
        <v>116.75</v>
      </c>
    </row>
    <row r="11" ht="22.5" customHeight="1">
      <c r="A11" s="12" t="s">
        <v>22</v>
      </c>
      <c r="B11" s="4">
        <v>10.0</v>
      </c>
      <c r="C11" s="4">
        <v>90.0</v>
      </c>
      <c r="D11" s="4">
        <v>20.0</v>
      </c>
      <c r="E11" s="12">
        <f t="shared" si="1"/>
        <v>110</v>
      </c>
      <c r="F11" s="12">
        <v>9.916666666666666</v>
      </c>
      <c r="G11" s="4">
        <v>13.0</v>
      </c>
      <c r="H11" s="12">
        <v>119.91666666666667</v>
      </c>
      <c r="I11" s="4" t="s">
        <v>229</v>
      </c>
      <c r="J11" s="7">
        <v>120.0</v>
      </c>
      <c r="K11" s="4">
        <v>90.0</v>
      </c>
      <c r="L11" s="4">
        <v>20.0</v>
      </c>
      <c r="M11" s="12">
        <f t="shared" si="2"/>
        <v>110</v>
      </c>
      <c r="N11" s="13"/>
      <c r="P11" s="5">
        <v>116.75</v>
      </c>
    </row>
    <row r="12">
      <c r="P12" s="5">
        <v>112.75</v>
      </c>
    </row>
    <row r="13">
      <c r="P13" s="5">
        <v>112.75</v>
      </c>
    </row>
    <row r="14">
      <c r="P14" s="5">
        <v>115.81818181818181</v>
      </c>
    </row>
    <row r="15">
      <c r="P15" s="5">
        <v>115.81818181818181</v>
      </c>
    </row>
    <row r="16">
      <c r="P16" s="5">
        <v>119.83333333333333</v>
      </c>
    </row>
    <row r="17">
      <c r="P17" s="5">
        <v>119.83333333333333</v>
      </c>
    </row>
    <row r="18">
      <c r="P18" s="5">
        <v>114.91666666666667</v>
      </c>
    </row>
    <row r="19">
      <c r="P19" s="5">
        <v>114.91666666666667</v>
      </c>
    </row>
    <row r="20">
      <c r="P20" s="5">
        <v>119.91666666666667</v>
      </c>
    </row>
    <row r="21">
      <c r="P21" s="5">
        <v>119.91666666666667</v>
      </c>
    </row>
    <row r="23">
      <c r="O23" s="15" t="s">
        <v>230</v>
      </c>
      <c r="P23" s="5">
        <f>AVERAGE(P2:P21)</f>
        <v>110.6303118</v>
      </c>
    </row>
    <row r="24">
      <c r="O24" s="15" t="s">
        <v>231</v>
      </c>
      <c r="P24" s="5">
        <f>MEDIAN(P2:P21)</f>
        <v>116.2840909</v>
      </c>
    </row>
    <row r="30">
      <c r="A30" s="16">
        <v>45987.63108208333</v>
      </c>
      <c r="B30" s="14" t="s">
        <v>166</v>
      </c>
      <c r="C30" s="14" t="s">
        <v>169</v>
      </c>
      <c r="D30" s="14" t="s">
        <v>167</v>
      </c>
      <c r="E30" s="14" t="s">
        <v>8</v>
      </c>
      <c r="F30" s="14">
        <v>9.0</v>
      </c>
      <c r="G30" s="14" t="s">
        <v>168</v>
      </c>
    </row>
    <row r="31">
      <c r="A31" s="16">
        <v>45987.62060756944</v>
      </c>
      <c r="B31" s="14" t="s">
        <v>166</v>
      </c>
      <c r="C31" s="14" t="s">
        <v>169</v>
      </c>
      <c r="D31" s="14" t="s">
        <v>167</v>
      </c>
      <c r="E31" s="14" t="s">
        <v>11</v>
      </c>
      <c r="F31" s="14">
        <v>10.0</v>
      </c>
      <c r="G31" s="14" t="s">
        <v>170</v>
      </c>
    </row>
    <row r="32">
      <c r="A32" s="16">
        <v>45987.648481145836</v>
      </c>
      <c r="B32" s="14" t="s">
        <v>166</v>
      </c>
      <c r="C32" s="14" t="s">
        <v>169</v>
      </c>
      <c r="D32" s="14" t="s">
        <v>167</v>
      </c>
      <c r="E32" s="14" t="s">
        <v>13</v>
      </c>
      <c r="F32" s="14">
        <v>10.0</v>
      </c>
      <c r="G32" s="14" t="s">
        <v>171</v>
      </c>
    </row>
    <row r="33">
      <c r="A33" s="16">
        <v>45987.62372928241</v>
      </c>
      <c r="B33" s="14" t="s">
        <v>166</v>
      </c>
      <c r="C33" s="14" t="s">
        <v>169</v>
      </c>
      <c r="D33" s="14" t="s">
        <v>167</v>
      </c>
      <c r="E33" s="14" t="s">
        <v>15</v>
      </c>
      <c r="F33" s="14">
        <v>10.0</v>
      </c>
      <c r="G33" s="14" t="s">
        <v>172</v>
      </c>
    </row>
    <row r="34">
      <c r="A34" s="16">
        <v>45987.615671203705</v>
      </c>
      <c r="B34" s="14" t="s">
        <v>166</v>
      </c>
      <c r="C34" s="14" t="s">
        <v>169</v>
      </c>
      <c r="D34" s="14" t="s">
        <v>167</v>
      </c>
      <c r="E34" s="14" t="s">
        <v>17</v>
      </c>
      <c r="F34" s="14">
        <v>10.0</v>
      </c>
      <c r="G34" s="14" t="s">
        <v>173</v>
      </c>
    </row>
    <row r="35">
      <c r="A35" s="16">
        <v>45987.63840603009</v>
      </c>
      <c r="B35" s="14" t="s">
        <v>166</v>
      </c>
      <c r="C35" s="14" t="s">
        <v>169</v>
      </c>
      <c r="D35" s="14" t="s">
        <v>167</v>
      </c>
      <c r="E35" s="14" t="s">
        <v>19</v>
      </c>
      <c r="F35" s="14">
        <v>10.0</v>
      </c>
      <c r="G35" s="14" t="s">
        <v>174</v>
      </c>
    </row>
    <row r="36">
      <c r="A36" s="16">
        <v>45987.63606488426</v>
      </c>
      <c r="B36" s="14" t="s">
        <v>166</v>
      </c>
      <c r="C36" s="14" t="s">
        <v>169</v>
      </c>
      <c r="D36" s="14" t="s">
        <v>167</v>
      </c>
      <c r="E36" s="14" t="s">
        <v>21</v>
      </c>
      <c r="F36" s="14">
        <v>10.0</v>
      </c>
      <c r="G36" s="14" t="s">
        <v>175</v>
      </c>
    </row>
    <row r="37">
      <c r="A37" s="16">
        <v>45987.610907650465</v>
      </c>
      <c r="B37" s="14" t="s">
        <v>166</v>
      </c>
      <c r="C37" s="14" t="s">
        <v>169</v>
      </c>
      <c r="D37" s="14" t="s">
        <v>167</v>
      </c>
      <c r="E37" s="14" t="s">
        <v>22</v>
      </c>
      <c r="F37" s="14">
        <v>10.0</v>
      </c>
      <c r="G37" s="14" t="s">
        <v>176</v>
      </c>
    </row>
    <row r="38">
      <c r="A38" s="16">
        <v>45987.645431412035</v>
      </c>
      <c r="B38" s="14" t="s">
        <v>166</v>
      </c>
      <c r="C38" s="14" t="s">
        <v>169</v>
      </c>
      <c r="D38" s="14" t="s">
        <v>167</v>
      </c>
      <c r="E38" s="14" t="s">
        <v>31</v>
      </c>
      <c r="F38" s="14">
        <v>10.0</v>
      </c>
      <c r="G38" s="14" t="s">
        <v>177</v>
      </c>
    </row>
    <row r="39">
      <c r="A39" s="16">
        <v>45987.604791226855</v>
      </c>
      <c r="B39" s="14" t="s">
        <v>166</v>
      </c>
      <c r="C39" s="14" t="s">
        <v>169</v>
      </c>
      <c r="D39" s="14" t="s">
        <v>167</v>
      </c>
      <c r="E39" s="14" t="s">
        <v>24</v>
      </c>
      <c r="F39" s="14">
        <v>9.0</v>
      </c>
      <c r="G39" s="14" t="s">
        <v>178</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5"/>
    <col customWidth="1" min="2" max="2" width="21.75"/>
    <col customWidth="1" min="3" max="3" width="16.38"/>
    <col customWidth="1" min="4" max="4" width="23.88"/>
    <col customWidth="1" min="5" max="6" width="20.25"/>
    <col customWidth="1" min="10" max="10" width="18.0"/>
    <col customWidth="1" min="11" max="11" width="17.13"/>
  </cols>
  <sheetData>
    <row r="1" ht="22.5" customHeight="1">
      <c r="A1" s="8" t="s">
        <v>201</v>
      </c>
      <c r="B1" s="8" t="s">
        <v>202</v>
      </c>
      <c r="C1" s="9" t="s">
        <v>203</v>
      </c>
      <c r="D1" s="10" t="s">
        <v>204</v>
      </c>
      <c r="E1" s="10" t="s">
        <v>205</v>
      </c>
      <c r="F1" s="8" t="s">
        <v>206</v>
      </c>
      <c r="G1" s="9" t="s">
        <v>207</v>
      </c>
      <c r="H1" s="9" t="s">
        <v>208</v>
      </c>
      <c r="I1" s="11" t="s">
        <v>210</v>
      </c>
      <c r="J1" s="9" t="s">
        <v>211</v>
      </c>
      <c r="K1" s="9" t="s">
        <v>212</v>
      </c>
      <c r="L1" s="9" t="s">
        <v>213</v>
      </c>
    </row>
    <row r="2" ht="22.5" customHeight="1">
      <c r="A2" s="12" t="s">
        <v>24</v>
      </c>
      <c r="B2" s="4">
        <v>9.0</v>
      </c>
      <c r="C2" s="4">
        <v>85.0</v>
      </c>
      <c r="D2" s="4">
        <v>18.0</v>
      </c>
      <c r="E2" s="12">
        <f t="shared" ref="E2:E11" si="1">SUM(C2:D2)</f>
        <v>103</v>
      </c>
      <c r="F2" s="12">
        <v>9.461538461538462</v>
      </c>
      <c r="G2" s="4">
        <v>14.0</v>
      </c>
      <c r="H2" s="12">
        <f t="shared" ref="H2:H11" si="2">SUM(C2, D2, F2)</f>
        <v>112.4615385</v>
      </c>
      <c r="I2" s="7" t="s">
        <v>216</v>
      </c>
      <c r="J2" s="4">
        <v>82.0</v>
      </c>
      <c r="K2" s="4">
        <v>19.0</v>
      </c>
      <c r="L2" s="12">
        <f t="shared" ref="L2:L11" si="3">SUM(J2:K2)</f>
        <v>101</v>
      </c>
    </row>
    <row r="3" ht="22.5" customHeight="1">
      <c r="A3" s="12" t="s">
        <v>8</v>
      </c>
      <c r="B3" s="4">
        <v>9.0</v>
      </c>
      <c r="C3" s="4">
        <v>82.0</v>
      </c>
      <c r="D3" s="4">
        <v>20.0</v>
      </c>
      <c r="E3" s="12">
        <f t="shared" si="1"/>
        <v>102</v>
      </c>
      <c r="F3" s="12">
        <v>9.666666666666666</v>
      </c>
      <c r="G3" s="4">
        <v>16.0</v>
      </c>
      <c r="H3" s="12">
        <f t="shared" si="2"/>
        <v>111.6666667</v>
      </c>
      <c r="I3" s="7" t="s">
        <v>216</v>
      </c>
      <c r="J3" s="4">
        <v>88.0</v>
      </c>
      <c r="K3" s="4">
        <v>17.0</v>
      </c>
      <c r="L3" s="12">
        <f t="shared" si="3"/>
        <v>105</v>
      </c>
    </row>
    <row r="4" ht="22.5" customHeight="1">
      <c r="A4" s="12" t="s">
        <v>19</v>
      </c>
      <c r="B4" s="4">
        <v>10.0</v>
      </c>
      <c r="C4" s="4">
        <v>90.0</v>
      </c>
      <c r="D4" s="4">
        <v>20.0</v>
      </c>
      <c r="E4" s="12">
        <f t="shared" si="1"/>
        <v>110</v>
      </c>
      <c r="F4" s="12">
        <v>9.6875</v>
      </c>
      <c r="G4" s="4">
        <v>17.0</v>
      </c>
      <c r="H4" s="12">
        <f t="shared" si="2"/>
        <v>119.6875</v>
      </c>
      <c r="I4" s="7">
        <v>120.0</v>
      </c>
      <c r="J4" s="4">
        <v>89.0</v>
      </c>
      <c r="K4" s="4">
        <v>18.0</v>
      </c>
      <c r="L4" s="12">
        <f t="shared" si="3"/>
        <v>107</v>
      </c>
    </row>
    <row r="5" ht="22.5" customHeight="1">
      <c r="A5" s="12" t="s">
        <v>11</v>
      </c>
      <c r="B5" s="4">
        <v>10.0</v>
      </c>
      <c r="C5" s="4">
        <v>90.0</v>
      </c>
      <c r="D5" s="4">
        <v>20.0</v>
      </c>
      <c r="E5" s="12">
        <f t="shared" si="1"/>
        <v>110</v>
      </c>
      <c r="F5" s="12">
        <v>9.733333333333333</v>
      </c>
      <c r="G5" s="4">
        <v>16.0</v>
      </c>
      <c r="H5" s="12">
        <f t="shared" si="2"/>
        <v>119.7333333</v>
      </c>
      <c r="I5" s="7">
        <v>120.0</v>
      </c>
      <c r="J5" s="4">
        <v>90.0</v>
      </c>
      <c r="K5" s="4">
        <v>19.0</v>
      </c>
      <c r="L5" s="12">
        <f t="shared" si="3"/>
        <v>109</v>
      </c>
    </row>
    <row r="6" ht="22.5" customHeight="1">
      <c r="A6" s="12" t="s">
        <v>17</v>
      </c>
      <c r="B6" s="4">
        <v>10.0</v>
      </c>
      <c r="C6" s="4">
        <v>89.0</v>
      </c>
      <c r="D6" s="4">
        <v>20.0</v>
      </c>
      <c r="E6" s="12">
        <f t="shared" si="1"/>
        <v>109</v>
      </c>
      <c r="F6" s="12">
        <v>9.75</v>
      </c>
      <c r="G6" s="4">
        <v>13.0</v>
      </c>
      <c r="H6" s="12">
        <f t="shared" si="2"/>
        <v>118.75</v>
      </c>
      <c r="I6" s="7" t="s">
        <v>222</v>
      </c>
      <c r="J6" s="4">
        <v>85.0</v>
      </c>
      <c r="K6" s="4">
        <v>19.0</v>
      </c>
      <c r="L6" s="12">
        <f t="shared" si="3"/>
        <v>104</v>
      </c>
    </row>
    <row r="7" ht="22.5" customHeight="1">
      <c r="A7" s="12" t="s">
        <v>31</v>
      </c>
      <c r="B7" s="4">
        <v>10.0</v>
      </c>
      <c r="C7" s="4">
        <v>89.0</v>
      </c>
      <c r="D7" s="4">
        <v>19.0</v>
      </c>
      <c r="E7" s="12">
        <f t="shared" si="1"/>
        <v>108</v>
      </c>
      <c r="F7" s="12">
        <v>9.75</v>
      </c>
      <c r="G7" s="4">
        <v>13.0</v>
      </c>
      <c r="H7" s="12">
        <f t="shared" si="2"/>
        <v>117.75</v>
      </c>
      <c r="I7" s="7" t="s">
        <v>224</v>
      </c>
      <c r="J7" s="4">
        <v>86.0</v>
      </c>
      <c r="K7" s="4">
        <v>17.0</v>
      </c>
      <c r="L7" s="12">
        <f t="shared" si="3"/>
        <v>103</v>
      </c>
    </row>
    <row r="8" ht="22.5" customHeight="1">
      <c r="A8" s="12" t="s">
        <v>15</v>
      </c>
      <c r="B8" s="4">
        <v>10.0</v>
      </c>
      <c r="C8" s="4">
        <v>90.0</v>
      </c>
      <c r="D8" s="4">
        <v>19.0</v>
      </c>
      <c r="E8" s="12">
        <f t="shared" si="1"/>
        <v>109</v>
      </c>
      <c r="F8" s="12">
        <v>9.818181818181818</v>
      </c>
      <c r="G8" s="4">
        <v>12.0</v>
      </c>
      <c r="H8" s="12">
        <f t="shared" si="2"/>
        <v>118.8181818</v>
      </c>
      <c r="I8" s="7">
        <v>119.0</v>
      </c>
      <c r="J8" s="4">
        <v>86.0</v>
      </c>
      <c r="K8" s="4">
        <v>19.0</v>
      </c>
      <c r="L8" s="12">
        <f t="shared" si="3"/>
        <v>105</v>
      </c>
    </row>
    <row r="9" ht="22.5" customHeight="1">
      <c r="A9" s="12" t="s">
        <v>21</v>
      </c>
      <c r="B9" s="4">
        <v>10.0</v>
      </c>
      <c r="C9" s="4">
        <v>90.0</v>
      </c>
      <c r="D9" s="4">
        <v>20.0</v>
      </c>
      <c r="E9" s="12">
        <f t="shared" si="1"/>
        <v>110</v>
      </c>
      <c r="F9" s="12">
        <v>9.833333333333334</v>
      </c>
      <c r="G9" s="4">
        <v>13.0</v>
      </c>
      <c r="H9" s="12">
        <f t="shared" si="2"/>
        <v>119.8333333</v>
      </c>
      <c r="I9" s="7">
        <v>120.0</v>
      </c>
      <c r="J9" s="4">
        <v>87.0</v>
      </c>
      <c r="K9" s="4">
        <v>17.0</v>
      </c>
      <c r="L9" s="12">
        <f t="shared" si="3"/>
        <v>104</v>
      </c>
    </row>
    <row r="10" ht="22.5" customHeight="1">
      <c r="A10" s="12" t="s">
        <v>13</v>
      </c>
      <c r="B10" s="4">
        <v>10.0</v>
      </c>
      <c r="C10" s="4">
        <v>89.0</v>
      </c>
      <c r="D10" s="4">
        <v>19.0</v>
      </c>
      <c r="E10" s="12">
        <f t="shared" si="1"/>
        <v>108</v>
      </c>
      <c r="F10" s="12">
        <v>9.916666666666666</v>
      </c>
      <c r="G10" s="4">
        <v>12.0</v>
      </c>
      <c r="H10" s="12">
        <f t="shared" si="2"/>
        <v>117.9166667</v>
      </c>
      <c r="I10" s="7" t="s">
        <v>228</v>
      </c>
      <c r="J10" s="4">
        <v>87.0</v>
      </c>
      <c r="K10" s="4">
        <v>17.0</v>
      </c>
      <c r="L10" s="12">
        <f t="shared" si="3"/>
        <v>104</v>
      </c>
    </row>
    <row r="11" ht="22.5" customHeight="1">
      <c r="A11" s="12" t="s">
        <v>22</v>
      </c>
      <c r="B11" s="4">
        <v>10.0</v>
      </c>
      <c r="C11" s="4">
        <v>90.0</v>
      </c>
      <c r="D11" s="4">
        <v>20.0</v>
      </c>
      <c r="E11" s="12">
        <f t="shared" si="1"/>
        <v>110</v>
      </c>
      <c r="F11" s="12">
        <v>9.916666666666666</v>
      </c>
      <c r="G11" s="4">
        <v>13.0</v>
      </c>
      <c r="H11" s="12">
        <f t="shared" si="2"/>
        <v>119.9166667</v>
      </c>
      <c r="I11" s="7">
        <v>120.0</v>
      </c>
      <c r="J11" s="4">
        <v>90.0</v>
      </c>
      <c r="K11" s="4">
        <v>20.0</v>
      </c>
      <c r="L11" s="12">
        <f t="shared" si="3"/>
        <v>110</v>
      </c>
    </row>
    <row r="15">
      <c r="G15" s="16">
        <v>45987.63108208333</v>
      </c>
      <c r="H15" s="14" t="s">
        <v>166</v>
      </c>
      <c r="I15" s="14" t="s">
        <v>167</v>
      </c>
      <c r="J15" s="14" t="s">
        <v>8</v>
      </c>
      <c r="K15" s="14">
        <v>9.0</v>
      </c>
      <c r="L15" s="14" t="s">
        <v>168</v>
      </c>
      <c r="M15" s="14" t="s">
        <v>169</v>
      </c>
    </row>
    <row r="16">
      <c r="G16" s="16">
        <v>45987.62060756944</v>
      </c>
      <c r="H16" s="14" t="s">
        <v>166</v>
      </c>
      <c r="I16" s="14" t="s">
        <v>167</v>
      </c>
      <c r="J16" s="14" t="s">
        <v>11</v>
      </c>
      <c r="K16" s="14">
        <v>10.0</v>
      </c>
      <c r="L16" s="14" t="s">
        <v>170</v>
      </c>
      <c r="M16" s="14" t="s">
        <v>169</v>
      </c>
    </row>
    <row r="17">
      <c r="G17" s="16">
        <v>45987.648481145836</v>
      </c>
      <c r="H17" s="14" t="s">
        <v>166</v>
      </c>
      <c r="I17" s="14" t="s">
        <v>167</v>
      </c>
      <c r="J17" s="14" t="s">
        <v>13</v>
      </c>
      <c r="K17" s="14">
        <v>10.0</v>
      </c>
      <c r="L17" s="14" t="s">
        <v>171</v>
      </c>
      <c r="M17" s="14" t="s">
        <v>169</v>
      </c>
    </row>
    <row r="18">
      <c r="G18" s="16">
        <v>45987.62372928241</v>
      </c>
      <c r="H18" s="14" t="s">
        <v>166</v>
      </c>
      <c r="I18" s="14" t="s">
        <v>167</v>
      </c>
      <c r="J18" s="14" t="s">
        <v>15</v>
      </c>
      <c r="K18" s="14">
        <v>10.0</v>
      </c>
      <c r="L18" s="14" t="s">
        <v>172</v>
      </c>
      <c r="M18" s="14" t="s">
        <v>169</v>
      </c>
    </row>
    <row r="19">
      <c r="G19" s="16">
        <v>45987.615671203705</v>
      </c>
      <c r="H19" s="14" t="s">
        <v>166</v>
      </c>
      <c r="I19" s="14" t="s">
        <v>167</v>
      </c>
      <c r="J19" s="14" t="s">
        <v>17</v>
      </c>
      <c r="K19" s="14">
        <v>10.0</v>
      </c>
      <c r="L19" s="14" t="s">
        <v>173</v>
      </c>
      <c r="M19" s="14" t="s">
        <v>169</v>
      </c>
    </row>
    <row r="20">
      <c r="G20" s="16">
        <v>45987.63840603009</v>
      </c>
      <c r="H20" s="14" t="s">
        <v>166</v>
      </c>
      <c r="I20" s="14" t="s">
        <v>167</v>
      </c>
      <c r="J20" s="14" t="s">
        <v>19</v>
      </c>
      <c r="K20" s="14">
        <v>10.0</v>
      </c>
      <c r="L20" s="14" t="s">
        <v>174</v>
      </c>
      <c r="M20" s="14" t="s">
        <v>169</v>
      </c>
    </row>
    <row r="21">
      <c r="G21" s="16">
        <v>45987.63606488426</v>
      </c>
      <c r="H21" s="14" t="s">
        <v>166</v>
      </c>
      <c r="I21" s="14" t="s">
        <v>167</v>
      </c>
      <c r="J21" s="14" t="s">
        <v>21</v>
      </c>
      <c r="K21" s="14">
        <v>10.0</v>
      </c>
      <c r="L21" s="14" t="s">
        <v>175</v>
      </c>
      <c r="M21" s="14" t="s">
        <v>169</v>
      </c>
    </row>
    <row r="22">
      <c r="G22" s="16">
        <v>45987.610907650465</v>
      </c>
      <c r="H22" s="14" t="s">
        <v>166</v>
      </c>
      <c r="I22" s="14" t="s">
        <v>167</v>
      </c>
      <c r="J22" s="14" t="s">
        <v>22</v>
      </c>
      <c r="K22" s="14">
        <v>10.0</v>
      </c>
      <c r="L22" s="14" t="s">
        <v>176</v>
      </c>
      <c r="M22" s="14" t="s">
        <v>169</v>
      </c>
    </row>
    <row r="23">
      <c r="G23" s="16">
        <v>45987.645431412035</v>
      </c>
      <c r="H23" s="14" t="s">
        <v>166</v>
      </c>
      <c r="I23" s="14" t="s">
        <v>167</v>
      </c>
      <c r="J23" s="14" t="s">
        <v>31</v>
      </c>
      <c r="K23" s="14">
        <v>10.0</v>
      </c>
      <c r="L23" s="14" t="s">
        <v>177</v>
      </c>
      <c r="M23" s="14" t="s">
        <v>169</v>
      </c>
    </row>
    <row r="24">
      <c r="G24" s="16">
        <v>45987.604791226855</v>
      </c>
      <c r="H24" s="14" t="s">
        <v>166</v>
      </c>
      <c r="I24" s="14" t="s">
        <v>167</v>
      </c>
      <c r="J24" s="14" t="s">
        <v>24</v>
      </c>
      <c r="K24" s="14">
        <v>9.0</v>
      </c>
      <c r="L24" s="14" t="s">
        <v>178</v>
      </c>
      <c r="M24" s="14" t="s">
        <v>169</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63"/>
  </cols>
  <sheetData>
    <row r="1">
      <c r="A1" s="16">
        <v>45987.62391744213</v>
      </c>
      <c r="B1" s="14" t="s">
        <v>67</v>
      </c>
      <c r="C1" s="14">
        <v>2.416559E7</v>
      </c>
      <c r="D1" s="14" t="s">
        <v>8</v>
      </c>
      <c r="E1" s="14">
        <v>10.0</v>
      </c>
      <c r="F1" s="14" t="s">
        <v>68</v>
      </c>
      <c r="G1" s="14" t="s">
        <v>69</v>
      </c>
    </row>
    <row r="2">
      <c r="A2" s="16">
        <v>45987.63027177083</v>
      </c>
      <c r="B2" s="14" t="s">
        <v>104</v>
      </c>
      <c r="C2" s="14">
        <v>2.3930236E7</v>
      </c>
      <c r="D2" s="14" t="s">
        <v>8</v>
      </c>
      <c r="E2" s="14">
        <v>10.0</v>
      </c>
      <c r="F2" s="14" t="s">
        <v>105</v>
      </c>
      <c r="G2" s="14" t="s">
        <v>106</v>
      </c>
    </row>
    <row r="3">
      <c r="A3" s="16">
        <v>45987.630852476854</v>
      </c>
      <c r="B3" s="14" t="s">
        <v>67</v>
      </c>
      <c r="C3" s="14">
        <v>2.416559E7</v>
      </c>
      <c r="D3" s="14" t="s">
        <v>8</v>
      </c>
      <c r="E3" s="14">
        <v>10.0</v>
      </c>
      <c r="F3" s="14" t="s">
        <v>70</v>
      </c>
      <c r="G3" s="14" t="s">
        <v>69</v>
      </c>
    </row>
    <row r="4">
      <c r="A4" s="16">
        <v>45987.63108208333</v>
      </c>
      <c r="B4" s="14" t="s">
        <v>166</v>
      </c>
      <c r="C4" s="14" t="s">
        <v>167</v>
      </c>
      <c r="D4" s="14" t="s">
        <v>8</v>
      </c>
      <c r="E4" s="14">
        <v>9.0</v>
      </c>
      <c r="F4" s="14" t="s">
        <v>168</v>
      </c>
      <c r="G4" s="14" t="s">
        <v>169</v>
      </c>
    </row>
    <row r="5">
      <c r="A5" s="16">
        <v>45987.63112613426</v>
      </c>
      <c r="B5" s="14" t="s">
        <v>143</v>
      </c>
      <c r="C5" s="14">
        <v>2.3759169E7</v>
      </c>
      <c r="D5" s="14" t="s">
        <v>8</v>
      </c>
      <c r="E5" s="14">
        <v>10.0</v>
      </c>
      <c r="F5" s="14" t="s">
        <v>144</v>
      </c>
      <c r="G5" s="14" t="s">
        <v>145</v>
      </c>
    </row>
    <row r="6">
      <c r="A6" s="16">
        <v>45987.63112651621</v>
      </c>
      <c r="B6" s="14" t="s">
        <v>57</v>
      </c>
      <c r="C6" s="14">
        <v>2.4306455E7</v>
      </c>
      <c r="D6" s="14" t="s">
        <v>8</v>
      </c>
      <c r="E6" s="14">
        <v>10.0</v>
      </c>
      <c r="F6" s="14" t="s">
        <v>58</v>
      </c>
      <c r="G6" s="14" t="s">
        <v>56</v>
      </c>
    </row>
    <row r="7">
      <c r="A7" s="16">
        <v>45987.63113555555</v>
      </c>
      <c r="B7" s="14" t="s">
        <v>123</v>
      </c>
      <c r="C7" s="14">
        <v>2.414914E7</v>
      </c>
      <c r="D7" s="14" t="s">
        <v>8</v>
      </c>
      <c r="E7" s="14">
        <v>10.0</v>
      </c>
      <c r="F7" s="14" t="s">
        <v>124</v>
      </c>
      <c r="G7" s="14" t="s">
        <v>125</v>
      </c>
    </row>
    <row r="8">
      <c r="A8" s="16">
        <v>45987.63113844907</v>
      </c>
      <c r="B8" s="14" t="s">
        <v>79</v>
      </c>
      <c r="C8" s="14">
        <v>2.3983447E7</v>
      </c>
      <c r="D8" s="14" t="s">
        <v>8</v>
      </c>
      <c r="E8" s="14">
        <v>10.0</v>
      </c>
      <c r="F8" s="14" t="s">
        <v>80</v>
      </c>
      <c r="G8" s="14" t="s">
        <v>81</v>
      </c>
    </row>
    <row r="9">
      <c r="A9" s="16">
        <v>45987.6311847801</v>
      </c>
      <c r="B9" s="14" t="s">
        <v>7</v>
      </c>
      <c r="C9" s="14">
        <v>2.373778E7</v>
      </c>
      <c r="D9" s="14" t="s">
        <v>8</v>
      </c>
      <c r="E9" s="14">
        <v>10.0</v>
      </c>
      <c r="F9" s="14" t="s">
        <v>9</v>
      </c>
      <c r="G9" s="14" t="s">
        <v>10</v>
      </c>
    </row>
    <row r="10">
      <c r="A10" s="16">
        <v>45987.6312620949</v>
      </c>
      <c r="B10" s="14" t="s">
        <v>41</v>
      </c>
      <c r="C10" s="14">
        <v>2.3940844E7</v>
      </c>
      <c r="D10" s="14" t="s">
        <v>8</v>
      </c>
      <c r="E10" s="14">
        <v>10.0</v>
      </c>
      <c r="F10" s="14" t="s">
        <v>42</v>
      </c>
      <c r="G10" s="14" t="s">
        <v>43</v>
      </c>
    </row>
    <row r="11">
      <c r="A11" s="16">
        <v>45987.63138262731</v>
      </c>
      <c r="B11" s="14" t="s">
        <v>189</v>
      </c>
      <c r="C11" s="14">
        <v>2.4297779E7</v>
      </c>
      <c r="D11" s="14" t="s">
        <v>8</v>
      </c>
      <c r="E11" s="14">
        <v>9.0</v>
      </c>
      <c r="F11" s="14" t="s">
        <v>190</v>
      </c>
      <c r="G11" s="14" t="s">
        <v>191</v>
      </c>
    </row>
    <row r="12">
      <c r="A12" s="16">
        <v>45987.63162489583</v>
      </c>
      <c r="B12" s="14" t="s">
        <v>93</v>
      </c>
      <c r="C12" s="14">
        <v>2.4265502E7</v>
      </c>
      <c r="D12" s="14" t="s">
        <v>8</v>
      </c>
      <c r="E12" s="14">
        <v>10.0</v>
      </c>
      <c r="F12" s="14" t="s">
        <v>94</v>
      </c>
      <c r="G12" s="14" t="s">
        <v>95</v>
      </c>
    </row>
    <row r="13">
      <c r="A13" s="16">
        <v>45987.63174979167</v>
      </c>
      <c r="B13" s="14" t="s">
        <v>133</v>
      </c>
      <c r="C13" s="14">
        <v>2.3871862E7</v>
      </c>
      <c r="D13" s="14" t="s">
        <v>8</v>
      </c>
      <c r="E13" s="14">
        <v>8.0</v>
      </c>
      <c r="F13" s="14" t="s">
        <v>134</v>
      </c>
      <c r="G13" s="14" t="s">
        <v>135</v>
      </c>
    </row>
    <row r="14">
      <c r="A14" s="16">
        <v>45987.631931192125</v>
      </c>
      <c r="B14" s="14" t="s">
        <v>179</v>
      </c>
      <c r="C14" s="14">
        <v>2.4022604E7</v>
      </c>
      <c r="D14" s="14" t="s">
        <v>8</v>
      </c>
      <c r="E14" s="14">
        <v>8.0</v>
      </c>
      <c r="F14" s="14" t="s">
        <v>180</v>
      </c>
      <c r="G14" s="14" t="s">
        <v>181</v>
      </c>
    </row>
    <row r="15">
      <c r="A15" s="16">
        <v>45987.63313940972</v>
      </c>
      <c r="B15" s="14" t="s">
        <v>153</v>
      </c>
      <c r="C15" s="14">
        <v>2.399838E7</v>
      </c>
      <c r="D15" s="14" t="s">
        <v>8</v>
      </c>
      <c r="E15" s="14">
        <v>10.0</v>
      </c>
      <c r="F15" s="14" t="s">
        <v>154</v>
      </c>
      <c r="G15" s="14" t="s">
        <v>155</v>
      </c>
    </row>
    <row r="16">
      <c r="A16" s="16">
        <v>45987.63772425926</v>
      </c>
      <c r="B16" s="14" t="s">
        <v>119</v>
      </c>
      <c r="C16" s="14">
        <v>2.4288209E7</v>
      </c>
      <c r="D16" s="14" t="s">
        <v>8</v>
      </c>
      <c r="E16" s="14">
        <v>10.0</v>
      </c>
      <c r="F16" s="14" t="s">
        <v>120</v>
      </c>
      <c r="G16" s="14" t="s">
        <v>118</v>
      </c>
    </row>
    <row r="18">
      <c r="A18" s="15" t="s">
        <v>232</v>
      </c>
      <c r="D18" s="15" t="s">
        <v>233</v>
      </c>
      <c r="E18" s="5">
        <f>AVERAGE(E5:E16,E1,E2,E3)</f>
        <v>9.666666667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25.63"/>
    <col customWidth="1" min="6" max="6" width="95.0"/>
  </cols>
  <sheetData>
    <row r="1">
      <c r="A1" s="16"/>
      <c r="D1" s="14" t="s">
        <v>8</v>
      </c>
      <c r="E1" s="14">
        <v>10.0</v>
      </c>
      <c r="F1" s="17" t="s">
        <v>68</v>
      </c>
    </row>
    <row r="2">
      <c r="A2" s="16"/>
      <c r="D2" s="14" t="s">
        <v>8</v>
      </c>
      <c r="E2" s="14">
        <v>10.0</v>
      </c>
      <c r="F2" s="17" t="s">
        <v>105</v>
      </c>
    </row>
    <row r="3">
      <c r="A3" s="16"/>
      <c r="D3" s="14" t="s">
        <v>8</v>
      </c>
      <c r="E3" s="14">
        <v>10.0</v>
      </c>
      <c r="F3" s="17" t="s">
        <v>70</v>
      </c>
    </row>
    <row r="4">
      <c r="A4" s="16"/>
      <c r="D4" s="14" t="s">
        <v>8</v>
      </c>
      <c r="E4" s="14">
        <v>9.0</v>
      </c>
      <c r="F4" s="17" t="s">
        <v>168</v>
      </c>
    </row>
    <row r="5">
      <c r="A5" s="16"/>
      <c r="D5" s="14" t="s">
        <v>8</v>
      </c>
      <c r="E5" s="14">
        <v>10.0</v>
      </c>
      <c r="F5" s="17" t="s">
        <v>144</v>
      </c>
    </row>
    <row r="6">
      <c r="A6" s="16"/>
      <c r="D6" s="14" t="s">
        <v>8</v>
      </c>
      <c r="E6" s="14">
        <v>10.0</v>
      </c>
      <c r="F6" s="17" t="s">
        <v>58</v>
      </c>
    </row>
    <row r="7">
      <c r="A7" s="16"/>
      <c r="D7" s="14" t="s">
        <v>8</v>
      </c>
      <c r="E7" s="14">
        <v>10.0</v>
      </c>
      <c r="F7" s="17" t="s">
        <v>124</v>
      </c>
    </row>
    <row r="8">
      <c r="A8" s="16"/>
      <c r="D8" s="14" t="s">
        <v>8</v>
      </c>
      <c r="E8" s="14">
        <v>10.0</v>
      </c>
      <c r="F8" s="17" t="s">
        <v>80</v>
      </c>
    </row>
    <row r="9">
      <c r="A9" s="16"/>
      <c r="D9" s="14" t="s">
        <v>8</v>
      </c>
      <c r="E9" s="14">
        <v>10.0</v>
      </c>
      <c r="F9" s="17" t="s">
        <v>9</v>
      </c>
    </row>
    <row r="10">
      <c r="A10" s="16"/>
      <c r="D10" s="14" t="s">
        <v>8</v>
      </c>
      <c r="E10" s="14">
        <v>10.0</v>
      </c>
      <c r="F10" s="17" t="s">
        <v>42</v>
      </c>
    </row>
    <row r="11">
      <c r="A11" s="16"/>
      <c r="D11" s="14" t="s">
        <v>8</v>
      </c>
      <c r="E11" s="14">
        <v>9.0</v>
      </c>
      <c r="F11" s="17" t="s">
        <v>190</v>
      </c>
    </row>
    <row r="12">
      <c r="A12" s="16"/>
      <c r="D12" s="14" t="s">
        <v>8</v>
      </c>
      <c r="E12" s="14">
        <v>10.0</v>
      </c>
      <c r="F12" s="17" t="s">
        <v>94</v>
      </c>
    </row>
    <row r="13">
      <c r="A13" s="16"/>
      <c r="D13" s="14" t="s">
        <v>8</v>
      </c>
      <c r="E13" s="14">
        <v>8.0</v>
      </c>
      <c r="F13" s="17" t="s">
        <v>134</v>
      </c>
    </row>
    <row r="14">
      <c r="A14" s="16"/>
      <c r="D14" s="14" t="s">
        <v>8</v>
      </c>
      <c r="E14" s="14">
        <v>8.0</v>
      </c>
      <c r="F14" s="17" t="s">
        <v>180</v>
      </c>
    </row>
    <row r="15">
      <c r="A15" s="16"/>
      <c r="D15" s="14" t="s">
        <v>8</v>
      </c>
      <c r="E15" s="14">
        <v>10.0</v>
      </c>
      <c r="F15" s="17" t="s">
        <v>154</v>
      </c>
    </row>
    <row r="16">
      <c r="A16" s="16"/>
      <c r="D16" s="14" t="s">
        <v>8</v>
      </c>
      <c r="E16" s="14">
        <v>10.0</v>
      </c>
      <c r="F16" s="17" t="s">
        <v>120</v>
      </c>
    </row>
    <row r="18">
      <c r="A18" s="15"/>
      <c r="D18" s="15" t="s">
        <v>233</v>
      </c>
      <c r="E18" s="5">
        <f>AVERAGE(E5:E16,E1,E2,E3)</f>
        <v>9.666666667</v>
      </c>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5"/>
  </cols>
  <sheetData>
    <row r="1">
      <c r="A1" s="16">
        <v>45987.61959844908</v>
      </c>
      <c r="B1" s="14" t="s">
        <v>143</v>
      </c>
      <c r="C1" s="14">
        <v>2.3759169E7</v>
      </c>
      <c r="D1" s="14" t="s">
        <v>11</v>
      </c>
      <c r="E1" s="14">
        <v>10.0</v>
      </c>
      <c r="F1" s="14" t="s">
        <v>146</v>
      </c>
      <c r="G1" s="14" t="s">
        <v>145</v>
      </c>
    </row>
    <row r="2">
      <c r="A2" s="16">
        <v>45987.61977809027</v>
      </c>
      <c r="B2" s="14" t="s">
        <v>7</v>
      </c>
      <c r="C2" s="14">
        <v>2.373778E7</v>
      </c>
      <c r="D2" s="14" t="s">
        <v>11</v>
      </c>
      <c r="E2" s="14">
        <v>10.0</v>
      </c>
      <c r="F2" s="14" t="s">
        <v>12</v>
      </c>
      <c r="G2" s="14" t="s">
        <v>10</v>
      </c>
    </row>
    <row r="3">
      <c r="A3" s="16">
        <v>45987.620000532406</v>
      </c>
      <c r="B3" s="14" t="s">
        <v>67</v>
      </c>
      <c r="C3" s="14">
        <v>2.416559E7</v>
      </c>
      <c r="D3" s="14" t="s">
        <v>11</v>
      </c>
      <c r="E3" s="14">
        <v>10.0</v>
      </c>
      <c r="F3" s="14" t="s">
        <v>71</v>
      </c>
      <c r="G3" s="14" t="s">
        <v>69</v>
      </c>
    </row>
    <row r="4">
      <c r="A4" s="16">
        <v>45987.62014701389</v>
      </c>
      <c r="B4" s="14" t="s">
        <v>26</v>
      </c>
      <c r="C4" s="14">
        <v>2.415071E7</v>
      </c>
      <c r="D4" s="14" t="s">
        <v>11</v>
      </c>
      <c r="E4" s="14">
        <v>10.0</v>
      </c>
      <c r="F4" s="14" t="s">
        <v>27</v>
      </c>
      <c r="G4" s="14" t="s">
        <v>28</v>
      </c>
    </row>
    <row r="5">
      <c r="A5" s="16">
        <v>45987.62024185185</v>
      </c>
      <c r="B5" s="14" t="s">
        <v>65</v>
      </c>
      <c r="C5" s="14">
        <v>2.4306455E7</v>
      </c>
      <c r="D5" s="14" t="s">
        <v>11</v>
      </c>
      <c r="E5" s="14">
        <v>10.0</v>
      </c>
      <c r="F5" s="14" t="s">
        <v>66</v>
      </c>
      <c r="G5" s="14" t="s">
        <v>56</v>
      </c>
    </row>
    <row r="6">
      <c r="A6" s="16">
        <v>45987.62060756944</v>
      </c>
      <c r="B6" s="14" t="s">
        <v>166</v>
      </c>
      <c r="C6" s="14" t="s">
        <v>167</v>
      </c>
      <c r="D6" s="14" t="s">
        <v>11</v>
      </c>
      <c r="E6" s="14">
        <v>10.0</v>
      </c>
      <c r="F6" s="14" t="s">
        <v>170</v>
      </c>
      <c r="G6" s="14" t="s">
        <v>169</v>
      </c>
    </row>
    <row r="7">
      <c r="A7" s="16">
        <v>45987.620665243056</v>
      </c>
      <c r="B7" s="14" t="s">
        <v>123</v>
      </c>
      <c r="C7" s="14">
        <v>2.414914E7</v>
      </c>
      <c r="D7" s="14" t="s">
        <v>11</v>
      </c>
      <c r="E7" s="14">
        <v>9.0</v>
      </c>
      <c r="F7" s="14" t="s">
        <v>126</v>
      </c>
      <c r="G7" s="14" t="s">
        <v>125</v>
      </c>
    </row>
    <row r="8">
      <c r="A8" s="16">
        <v>45987.620670335644</v>
      </c>
      <c r="B8" s="14" t="s">
        <v>93</v>
      </c>
      <c r="C8" s="14">
        <v>2.4265502E7</v>
      </c>
      <c r="D8" s="14" t="s">
        <v>11</v>
      </c>
      <c r="E8" s="14">
        <v>10.0</v>
      </c>
      <c r="F8" s="14" t="s">
        <v>96</v>
      </c>
      <c r="G8" s="14" t="s">
        <v>95</v>
      </c>
    </row>
    <row r="9">
      <c r="A9" s="16">
        <v>45987.62068760417</v>
      </c>
      <c r="B9" s="14" t="s">
        <v>104</v>
      </c>
      <c r="C9" s="14">
        <v>2.3930236E7</v>
      </c>
      <c r="D9" s="14" t="s">
        <v>11</v>
      </c>
      <c r="E9" s="14">
        <v>10.0</v>
      </c>
      <c r="F9" s="14" t="s">
        <v>107</v>
      </c>
      <c r="G9" s="14" t="s">
        <v>106</v>
      </c>
    </row>
    <row r="10">
      <c r="A10" s="16">
        <v>45987.62083140046</v>
      </c>
      <c r="B10" s="14" t="s">
        <v>195</v>
      </c>
      <c r="C10" s="14">
        <v>2.4297779E7</v>
      </c>
      <c r="D10" s="14" t="s">
        <v>11</v>
      </c>
      <c r="E10" s="14">
        <v>10.0</v>
      </c>
      <c r="F10" s="14" t="s">
        <v>196</v>
      </c>
      <c r="G10" s="14" t="s">
        <v>191</v>
      </c>
    </row>
    <row r="11">
      <c r="A11" s="16">
        <v>45987.620867881946</v>
      </c>
      <c r="B11" s="14" t="s">
        <v>133</v>
      </c>
      <c r="C11" s="14">
        <v>2.3871862E7</v>
      </c>
      <c r="D11" s="14" t="s">
        <v>11</v>
      </c>
      <c r="E11" s="14">
        <v>8.0</v>
      </c>
      <c r="F11" s="14" t="s">
        <v>136</v>
      </c>
      <c r="G11" s="14" t="s">
        <v>135</v>
      </c>
    </row>
    <row r="12">
      <c r="A12" s="16">
        <v>45987.622362152775</v>
      </c>
      <c r="B12" s="14" t="s">
        <v>179</v>
      </c>
      <c r="C12" s="14">
        <v>2.4022604E7</v>
      </c>
      <c r="D12" s="14" t="s">
        <v>11</v>
      </c>
      <c r="E12" s="14">
        <v>9.0</v>
      </c>
      <c r="F12" s="14" t="s">
        <v>182</v>
      </c>
      <c r="G12" s="14" t="s">
        <v>181</v>
      </c>
    </row>
    <row r="13">
      <c r="A13" s="16">
        <v>45987.62418888889</v>
      </c>
      <c r="B13" s="14" t="s">
        <v>45</v>
      </c>
      <c r="C13" s="14">
        <v>2.3940844E7</v>
      </c>
      <c r="D13" s="14" t="s">
        <v>11</v>
      </c>
      <c r="E13" s="14">
        <v>10.0</v>
      </c>
      <c r="F13" s="14" t="s">
        <v>46</v>
      </c>
      <c r="G13" s="14" t="s">
        <v>43</v>
      </c>
    </row>
    <row r="14">
      <c r="A14" s="16">
        <v>45987.62508979166</v>
      </c>
      <c r="B14" s="14" t="s">
        <v>79</v>
      </c>
      <c r="C14" s="14">
        <v>2.3983447E7</v>
      </c>
      <c r="D14" s="14" t="s">
        <v>11</v>
      </c>
      <c r="E14" s="14">
        <v>10.0</v>
      </c>
      <c r="F14" s="14" t="s">
        <v>82</v>
      </c>
      <c r="G14" s="14" t="s">
        <v>81</v>
      </c>
    </row>
    <row r="15">
      <c r="A15" s="16">
        <v>45987.62644577546</v>
      </c>
      <c r="B15" s="14" t="s">
        <v>90</v>
      </c>
      <c r="C15" s="14">
        <v>2.3193343E7</v>
      </c>
      <c r="D15" s="14" t="s">
        <v>11</v>
      </c>
      <c r="E15" s="14">
        <v>10.0</v>
      </c>
      <c r="F15" s="14" t="s">
        <v>91</v>
      </c>
      <c r="G15" s="14" t="s">
        <v>92</v>
      </c>
    </row>
    <row r="16">
      <c r="A16" s="16">
        <v>45987.632495949074</v>
      </c>
      <c r="B16" s="14" t="s">
        <v>153</v>
      </c>
      <c r="C16" s="14">
        <v>2.399838E7</v>
      </c>
      <c r="D16" s="14" t="s">
        <v>11</v>
      </c>
      <c r="E16" s="14">
        <v>10.0</v>
      </c>
      <c r="F16" s="14" t="s">
        <v>156</v>
      </c>
      <c r="G16" s="14" t="s">
        <v>155</v>
      </c>
    </row>
    <row r="18">
      <c r="A18" s="15" t="s">
        <v>232</v>
      </c>
      <c r="D18" s="15" t="s">
        <v>233</v>
      </c>
      <c r="E18" s="5">
        <f>AVERAGE(E7:E16,E1,E2,E3,E4,E5)</f>
        <v>9.733333333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25.5"/>
    <col customWidth="1" min="6" max="6" width="98.5"/>
  </cols>
  <sheetData>
    <row r="1">
      <c r="A1" s="16"/>
      <c r="D1" s="14" t="s">
        <v>11</v>
      </c>
      <c r="E1" s="14">
        <v>10.0</v>
      </c>
      <c r="F1" s="17" t="s">
        <v>146</v>
      </c>
    </row>
    <row r="2">
      <c r="A2" s="16"/>
      <c r="D2" s="14" t="s">
        <v>11</v>
      </c>
      <c r="E2" s="14">
        <v>10.0</v>
      </c>
      <c r="F2" s="17" t="s">
        <v>12</v>
      </c>
    </row>
    <row r="3">
      <c r="A3" s="16"/>
      <c r="D3" s="14" t="s">
        <v>11</v>
      </c>
      <c r="E3" s="14">
        <v>10.0</v>
      </c>
      <c r="F3" s="17" t="s">
        <v>71</v>
      </c>
    </row>
    <row r="4">
      <c r="A4" s="16"/>
      <c r="D4" s="14" t="s">
        <v>11</v>
      </c>
      <c r="E4" s="14">
        <v>10.0</v>
      </c>
      <c r="F4" s="17" t="s">
        <v>27</v>
      </c>
    </row>
    <row r="5">
      <c r="A5" s="16"/>
      <c r="D5" s="14" t="s">
        <v>11</v>
      </c>
      <c r="E5" s="14">
        <v>10.0</v>
      </c>
      <c r="F5" s="17" t="s">
        <v>66</v>
      </c>
    </row>
    <row r="6">
      <c r="A6" s="16"/>
      <c r="D6" s="14" t="s">
        <v>11</v>
      </c>
      <c r="E6" s="14">
        <v>10.0</v>
      </c>
      <c r="F6" s="17" t="s">
        <v>170</v>
      </c>
    </row>
    <row r="7">
      <c r="A7" s="16"/>
      <c r="D7" s="14" t="s">
        <v>11</v>
      </c>
      <c r="E7" s="14">
        <v>9.0</v>
      </c>
      <c r="F7" s="17" t="s">
        <v>126</v>
      </c>
    </row>
    <row r="8">
      <c r="A8" s="16"/>
      <c r="D8" s="14" t="s">
        <v>11</v>
      </c>
      <c r="E8" s="14">
        <v>10.0</v>
      </c>
      <c r="F8" s="17" t="s">
        <v>96</v>
      </c>
    </row>
    <row r="9">
      <c r="A9" s="16"/>
      <c r="D9" s="14" t="s">
        <v>11</v>
      </c>
      <c r="E9" s="14">
        <v>10.0</v>
      </c>
      <c r="F9" s="17" t="s">
        <v>107</v>
      </c>
    </row>
    <row r="10">
      <c r="A10" s="16"/>
      <c r="D10" s="14" t="s">
        <v>11</v>
      </c>
      <c r="E10" s="14">
        <v>10.0</v>
      </c>
      <c r="F10" s="17" t="s">
        <v>196</v>
      </c>
    </row>
    <row r="11">
      <c r="A11" s="16"/>
      <c r="D11" s="14" t="s">
        <v>11</v>
      </c>
      <c r="E11" s="14">
        <v>8.0</v>
      </c>
      <c r="F11" s="17" t="s">
        <v>136</v>
      </c>
    </row>
    <row r="12">
      <c r="A12" s="16"/>
      <c r="D12" s="14" t="s">
        <v>11</v>
      </c>
      <c r="E12" s="14">
        <v>9.0</v>
      </c>
      <c r="F12" s="17" t="s">
        <v>182</v>
      </c>
    </row>
    <row r="13">
      <c r="A13" s="16"/>
      <c r="D13" s="14" t="s">
        <v>11</v>
      </c>
      <c r="E13" s="14">
        <v>10.0</v>
      </c>
      <c r="F13" s="17" t="s">
        <v>46</v>
      </c>
    </row>
    <row r="14">
      <c r="A14" s="16"/>
      <c r="D14" s="14" t="s">
        <v>11</v>
      </c>
      <c r="E14" s="14">
        <v>10.0</v>
      </c>
      <c r="F14" s="17" t="s">
        <v>82</v>
      </c>
    </row>
    <row r="15">
      <c r="A15" s="16"/>
      <c r="D15" s="14" t="s">
        <v>11</v>
      </c>
      <c r="E15" s="14">
        <v>10.0</v>
      </c>
      <c r="F15" s="17" t="s">
        <v>91</v>
      </c>
    </row>
    <row r="16">
      <c r="A16" s="16"/>
      <c r="D16" s="14" t="s">
        <v>11</v>
      </c>
      <c r="E16" s="14">
        <v>10.0</v>
      </c>
      <c r="F16" s="17" t="s">
        <v>156</v>
      </c>
    </row>
    <row r="18">
      <c r="A18" s="15"/>
      <c r="D18" s="15" t="s">
        <v>233</v>
      </c>
      <c r="E18" s="5">
        <f>AVERAGE(E7:E16,E1,E2,E3,E4,E5)</f>
        <v>9.733333333</v>
      </c>
    </row>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25"/>
  </cols>
  <sheetData>
    <row r="1">
      <c r="A1" s="16">
        <v>45987.643832835645</v>
      </c>
      <c r="B1" s="14" t="s">
        <v>93</v>
      </c>
      <c r="C1" s="14">
        <v>2.4265502E7</v>
      </c>
      <c r="D1" s="14" t="s">
        <v>13</v>
      </c>
      <c r="E1" s="14">
        <v>10.0</v>
      </c>
      <c r="F1" s="14" t="s">
        <v>97</v>
      </c>
      <c r="G1" s="14" t="s">
        <v>95</v>
      </c>
    </row>
    <row r="2">
      <c r="A2" s="16">
        <v>45987.64768214121</v>
      </c>
      <c r="B2" s="14" t="s">
        <v>104</v>
      </c>
      <c r="C2" s="14">
        <v>2.3930236E7</v>
      </c>
      <c r="D2" s="14" t="s">
        <v>13</v>
      </c>
      <c r="E2" s="14">
        <v>10.0</v>
      </c>
      <c r="F2" s="14" t="s">
        <v>108</v>
      </c>
      <c r="G2" s="14" t="s">
        <v>106</v>
      </c>
    </row>
    <row r="3">
      <c r="A3" s="16">
        <v>45987.64821167824</v>
      </c>
      <c r="B3" s="14" t="s">
        <v>7</v>
      </c>
      <c r="C3" s="14">
        <v>2.373778E7</v>
      </c>
      <c r="D3" s="14" t="s">
        <v>13</v>
      </c>
      <c r="E3" s="14">
        <v>10.0</v>
      </c>
      <c r="F3" s="14" t="s">
        <v>14</v>
      </c>
      <c r="G3" s="14" t="s">
        <v>10</v>
      </c>
    </row>
    <row r="4">
      <c r="A4" s="16">
        <v>45987.648481145836</v>
      </c>
      <c r="B4" s="14" t="s">
        <v>166</v>
      </c>
      <c r="C4" s="14" t="s">
        <v>167</v>
      </c>
      <c r="D4" s="14" t="s">
        <v>13</v>
      </c>
      <c r="E4" s="14">
        <v>10.0</v>
      </c>
      <c r="F4" s="14" t="s">
        <v>171</v>
      </c>
      <c r="G4" s="14" t="s">
        <v>169</v>
      </c>
    </row>
    <row r="5">
      <c r="A5" s="16">
        <v>45987.64867385417</v>
      </c>
      <c r="B5" s="14" t="s">
        <v>123</v>
      </c>
      <c r="C5" s="14">
        <v>2.414914E7</v>
      </c>
      <c r="D5" s="14" t="s">
        <v>13</v>
      </c>
      <c r="E5" s="14">
        <v>10.0</v>
      </c>
      <c r="F5" s="14" t="s">
        <v>127</v>
      </c>
      <c r="G5" s="14" t="s">
        <v>125</v>
      </c>
    </row>
    <row r="6">
      <c r="A6" s="16">
        <v>45987.64927553241</v>
      </c>
      <c r="B6" s="14" t="s">
        <v>26</v>
      </c>
      <c r="C6" s="14">
        <v>2.415071E7</v>
      </c>
      <c r="D6" s="14" t="s">
        <v>13</v>
      </c>
      <c r="E6" s="14">
        <v>10.0</v>
      </c>
      <c r="F6" s="14" t="s">
        <v>29</v>
      </c>
      <c r="G6" s="14" t="s">
        <v>30</v>
      </c>
    </row>
    <row r="7">
      <c r="A7" s="16">
        <v>45987.64994634259</v>
      </c>
      <c r="B7" s="14" t="s">
        <v>189</v>
      </c>
      <c r="C7" s="14">
        <v>2.4297779E7</v>
      </c>
      <c r="D7" s="14" t="s">
        <v>13</v>
      </c>
      <c r="E7" s="14">
        <v>10.0</v>
      </c>
      <c r="F7" s="14" t="s">
        <v>192</v>
      </c>
      <c r="G7" s="14" t="s">
        <v>191</v>
      </c>
    </row>
    <row r="8">
      <c r="A8" s="16">
        <v>45987.650015590276</v>
      </c>
      <c r="B8" s="14" t="s">
        <v>115</v>
      </c>
      <c r="C8" s="14" t="s">
        <v>116</v>
      </c>
      <c r="D8" s="14" t="s">
        <v>13</v>
      </c>
      <c r="E8" s="14">
        <v>10.0</v>
      </c>
      <c r="F8" s="14" t="s">
        <v>117</v>
      </c>
      <c r="G8" s="14" t="s">
        <v>118</v>
      </c>
    </row>
    <row r="9">
      <c r="A9" s="16">
        <v>45987.65014856482</v>
      </c>
      <c r="B9" s="14" t="s">
        <v>45</v>
      </c>
      <c r="C9" s="14">
        <v>2.3940844E7</v>
      </c>
      <c r="D9" s="14" t="s">
        <v>13</v>
      </c>
      <c r="E9" s="14">
        <v>9.0</v>
      </c>
      <c r="F9" s="14" t="s">
        <v>47</v>
      </c>
      <c r="G9" s="14" t="s">
        <v>43</v>
      </c>
    </row>
    <row r="10">
      <c r="A10" s="16">
        <v>45987.650206875</v>
      </c>
      <c r="B10" s="14" t="s">
        <v>79</v>
      </c>
      <c r="C10" s="14">
        <v>2.3983447E7</v>
      </c>
      <c r="D10" s="14" t="s">
        <v>13</v>
      </c>
      <c r="E10" s="14">
        <v>10.0</v>
      </c>
      <c r="F10" s="14" t="s">
        <v>83</v>
      </c>
      <c r="G10" s="14" t="s">
        <v>81</v>
      </c>
    </row>
    <row r="11">
      <c r="A11" s="16">
        <v>45987.650900925924</v>
      </c>
      <c r="B11" s="14" t="s">
        <v>67</v>
      </c>
      <c r="C11" s="14">
        <v>2.416559E7</v>
      </c>
      <c r="D11" s="14" t="s">
        <v>13</v>
      </c>
      <c r="E11" s="14">
        <v>10.0</v>
      </c>
      <c r="F11" s="14" t="s">
        <v>72</v>
      </c>
      <c r="G11" s="14" t="s">
        <v>69</v>
      </c>
    </row>
    <row r="12">
      <c r="A12" s="16">
        <v>45987.65125462963</v>
      </c>
      <c r="B12" s="14" t="s">
        <v>153</v>
      </c>
      <c r="C12" s="14">
        <v>2.399838E7</v>
      </c>
      <c r="D12" s="14" t="s">
        <v>13</v>
      </c>
      <c r="E12" s="14">
        <v>10.0</v>
      </c>
      <c r="F12" s="14" t="s">
        <v>100</v>
      </c>
      <c r="G12" s="14" t="s">
        <v>155</v>
      </c>
    </row>
    <row r="14">
      <c r="A14" s="15" t="s">
        <v>234</v>
      </c>
      <c r="D14" s="15" t="s">
        <v>233</v>
      </c>
      <c r="E14" s="5">
        <f>AVERAGE(E5,E5:E12,E1,E2,E2)</f>
        <v>9.916666667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24.25"/>
    <col customWidth="1" min="6" max="6" width="86.38"/>
  </cols>
  <sheetData>
    <row r="1">
      <c r="A1" s="16"/>
      <c r="D1" s="14" t="s">
        <v>13</v>
      </c>
      <c r="E1" s="14">
        <v>10.0</v>
      </c>
      <c r="F1" s="17" t="s">
        <v>97</v>
      </c>
    </row>
    <row r="2">
      <c r="A2" s="16"/>
      <c r="D2" s="14" t="s">
        <v>13</v>
      </c>
      <c r="E2" s="14">
        <v>10.0</v>
      </c>
      <c r="F2" s="17" t="s">
        <v>108</v>
      </c>
    </row>
    <row r="3">
      <c r="A3" s="16"/>
      <c r="D3" s="14" t="s">
        <v>13</v>
      </c>
      <c r="E3" s="14">
        <v>10.0</v>
      </c>
      <c r="F3" s="17" t="s">
        <v>14</v>
      </c>
    </row>
    <row r="4">
      <c r="A4" s="16"/>
      <c r="D4" s="14" t="s">
        <v>13</v>
      </c>
      <c r="E4" s="14">
        <v>10.0</v>
      </c>
      <c r="F4" s="17" t="s">
        <v>171</v>
      </c>
    </row>
    <row r="5">
      <c r="A5" s="16"/>
      <c r="D5" s="14" t="s">
        <v>13</v>
      </c>
      <c r="E5" s="14">
        <v>10.0</v>
      </c>
      <c r="F5" s="17" t="s">
        <v>127</v>
      </c>
    </row>
    <row r="6">
      <c r="A6" s="16"/>
      <c r="D6" s="14" t="s">
        <v>13</v>
      </c>
      <c r="E6" s="14">
        <v>10.0</v>
      </c>
      <c r="F6" s="17" t="s">
        <v>29</v>
      </c>
    </row>
    <row r="7">
      <c r="A7" s="16"/>
      <c r="D7" s="14" t="s">
        <v>13</v>
      </c>
      <c r="E7" s="14">
        <v>10.0</v>
      </c>
      <c r="F7" s="17" t="s">
        <v>192</v>
      </c>
    </row>
    <row r="8">
      <c r="A8" s="16"/>
      <c r="D8" s="14" t="s">
        <v>13</v>
      </c>
      <c r="E8" s="14">
        <v>10.0</v>
      </c>
      <c r="F8" s="17" t="s">
        <v>117</v>
      </c>
    </row>
    <row r="9">
      <c r="A9" s="16"/>
      <c r="D9" s="14" t="s">
        <v>13</v>
      </c>
      <c r="E9" s="14">
        <v>9.0</v>
      </c>
      <c r="F9" s="17" t="s">
        <v>47</v>
      </c>
    </row>
    <row r="10">
      <c r="A10" s="16"/>
      <c r="D10" s="14" t="s">
        <v>13</v>
      </c>
      <c r="E10" s="14">
        <v>10.0</v>
      </c>
      <c r="F10" s="17" t="s">
        <v>83</v>
      </c>
    </row>
    <row r="11">
      <c r="A11" s="16"/>
      <c r="D11" s="14" t="s">
        <v>13</v>
      </c>
      <c r="E11" s="14">
        <v>10.0</v>
      </c>
      <c r="F11" s="17" t="s">
        <v>72</v>
      </c>
    </row>
    <row r="12">
      <c r="A12" s="16"/>
      <c r="D12" s="14" t="s">
        <v>13</v>
      </c>
      <c r="E12" s="14">
        <v>10.0</v>
      </c>
      <c r="F12" s="17" t="s">
        <v>100</v>
      </c>
    </row>
    <row r="14">
      <c r="A14" s="15"/>
      <c r="D14" s="15" t="s">
        <v>233</v>
      </c>
      <c r="E14" s="5">
        <f>AVERAGE(E5,E5:E12,E1,E2,E2)</f>
        <v>9.916666667</v>
      </c>
    </row>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38"/>
  </cols>
  <sheetData>
    <row r="1">
      <c r="A1" s="16">
        <v>45987.62143622685</v>
      </c>
      <c r="B1" s="14" t="s">
        <v>93</v>
      </c>
      <c r="C1" s="14">
        <v>2.4265502E7</v>
      </c>
      <c r="D1" s="14" t="s">
        <v>15</v>
      </c>
      <c r="E1" s="14">
        <v>10.0</v>
      </c>
      <c r="F1" s="14" t="s">
        <v>98</v>
      </c>
      <c r="G1" s="14" t="s">
        <v>95</v>
      </c>
    </row>
    <row r="2">
      <c r="A2" s="16">
        <v>45987.62372928241</v>
      </c>
      <c r="B2" s="14" t="s">
        <v>166</v>
      </c>
      <c r="C2" s="14" t="s">
        <v>167</v>
      </c>
      <c r="D2" s="14" t="s">
        <v>15</v>
      </c>
      <c r="E2" s="14">
        <v>10.0</v>
      </c>
      <c r="F2" s="14" t="s">
        <v>172</v>
      </c>
      <c r="G2" s="14" t="s">
        <v>169</v>
      </c>
    </row>
    <row r="3">
      <c r="A3" s="16">
        <v>45987.623982986115</v>
      </c>
      <c r="B3" s="14" t="s">
        <v>26</v>
      </c>
      <c r="C3" s="14">
        <v>2.415071E7</v>
      </c>
      <c r="D3" s="14" t="s">
        <v>15</v>
      </c>
      <c r="E3" s="14">
        <v>10.0</v>
      </c>
      <c r="F3" s="14" t="s">
        <v>32</v>
      </c>
      <c r="G3" s="14" t="s">
        <v>28</v>
      </c>
    </row>
    <row r="4">
      <c r="A4" s="16">
        <v>45987.623984907405</v>
      </c>
      <c r="B4" s="14" t="s">
        <v>7</v>
      </c>
      <c r="C4" s="14">
        <v>2.373778E7</v>
      </c>
      <c r="D4" s="14" t="s">
        <v>15</v>
      </c>
      <c r="E4" s="14">
        <v>10.0</v>
      </c>
      <c r="F4" s="14" t="s">
        <v>16</v>
      </c>
      <c r="G4" s="14" t="s">
        <v>10</v>
      </c>
    </row>
    <row r="5">
      <c r="A5" s="16">
        <v>45987.62406152778</v>
      </c>
      <c r="B5" s="14" t="s">
        <v>143</v>
      </c>
      <c r="C5" s="14">
        <v>2.3759169E7</v>
      </c>
      <c r="D5" s="14" t="s">
        <v>15</v>
      </c>
      <c r="E5" s="14">
        <v>10.0</v>
      </c>
      <c r="F5" s="14" t="s">
        <v>147</v>
      </c>
      <c r="G5" s="14" t="s">
        <v>145</v>
      </c>
    </row>
    <row r="6">
      <c r="A6" s="16">
        <v>45987.624101747686</v>
      </c>
      <c r="B6" s="14" t="s">
        <v>123</v>
      </c>
      <c r="C6" s="14">
        <v>2.414914E7</v>
      </c>
      <c r="D6" s="14" t="s">
        <v>15</v>
      </c>
      <c r="E6" s="14">
        <v>10.0</v>
      </c>
      <c r="F6" s="14" t="s">
        <v>128</v>
      </c>
      <c r="G6" s="14" t="s">
        <v>125</v>
      </c>
    </row>
    <row r="7">
      <c r="A7" s="16">
        <v>45987.62422273148</v>
      </c>
      <c r="B7" s="14" t="s">
        <v>189</v>
      </c>
      <c r="C7" s="14">
        <v>2.4297779E7</v>
      </c>
      <c r="D7" s="14" t="s">
        <v>15</v>
      </c>
      <c r="E7" s="14">
        <v>10.0</v>
      </c>
      <c r="F7" s="14" t="s">
        <v>193</v>
      </c>
      <c r="G7" s="14" t="s">
        <v>191</v>
      </c>
    </row>
    <row r="8">
      <c r="A8" s="16">
        <v>45987.62456305556</v>
      </c>
      <c r="B8" s="14" t="s">
        <v>133</v>
      </c>
      <c r="C8" s="14">
        <v>2.3871862E7</v>
      </c>
      <c r="D8" s="14" t="s">
        <v>15</v>
      </c>
      <c r="E8" s="14">
        <v>9.0</v>
      </c>
      <c r="F8" s="14" t="s">
        <v>137</v>
      </c>
      <c r="G8" s="14" t="s">
        <v>135</v>
      </c>
    </row>
    <row r="9">
      <c r="A9" s="16">
        <v>45987.624627997684</v>
      </c>
      <c r="B9" s="14" t="s">
        <v>57</v>
      </c>
      <c r="C9" s="14">
        <v>2.4306455E7</v>
      </c>
      <c r="D9" s="14" t="s">
        <v>15</v>
      </c>
      <c r="E9" s="14">
        <v>10.0</v>
      </c>
      <c r="F9" s="14" t="s">
        <v>59</v>
      </c>
      <c r="G9" s="14" t="s">
        <v>56</v>
      </c>
    </row>
    <row r="10">
      <c r="A10" s="16">
        <v>45987.62487813657</v>
      </c>
      <c r="B10" s="14" t="s">
        <v>179</v>
      </c>
      <c r="C10" s="14">
        <v>2.4022604E7</v>
      </c>
      <c r="D10" s="14" t="s">
        <v>15</v>
      </c>
      <c r="E10" s="14">
        <v>9.0</v>
      </c>
      <c r="F10" s="14" t="s">
        <v>183</v>
      </c>
      <c r="G10" s="14" t="s">
        <v>181</v>
      </c>
    </row>
    <row r="11">
      <c r="A11" s="16">
        <v>45987.625223344905</v>
      </c>
      <c r="B11" s="14" t="s">
        <v>104</v>
      </c>
      <c r="C11" s="14">
        <v>2.3930236E7</v>
      </c>
      <c r="D11" s="14" t="s">
        <v>15</v>
      </c>
      <c r="E11" s="14">
        <v>10.0</v>
      </c>
      <c r="F11" s="14" t="s">
        <v>109</v>
      </c>
      <c r="G11" s="14" t="s">
        <v>106</v>
      </c>
    </row>
    <row r="12">
      <c r="A12" s="16">
        <v>45987.632796261576</v>
      </c>
      <c r="B12" s="14" t="s">
        <v>153</v>
      </c>
      <c r="C12" s="14">
        <v>2.399838E7</v>
      </c>
      <c r="D12" s="14" t="s">
        <v>15</v>
      </c>
      <c r="E12" s="14">
        <v>10.0</v>
      </c>
      <c r="F12" s="14" t="s">
        <v>157</v>
      </c>
      <c r="G12" s="14" t="s">
        <v>155</v>
      </c>
    </row>
    <row r="14">
      <c r="A14" s="15" t="s">
        <v>234</v>
      </c>
      <c r="D14" s="15" t="s">
        <v>233</v>
      </c>
      <c r="E14" s="5">
        <f>AVERAGE(E3:E12,E1)</f>
        <v>9.818181818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32.38"/>
    <col customWidth="1" min="6" max="6" width="86.13"/>
  </cols>
  <sheetData>
    <row r="1">
      <c r="A1" s="16"/>
      <c r="D1" s="14" t="s">
        <v>15</v>
      </c>
      <c r="E1" s="14">
        <v>10.0</v>
      </c>
      <c r="F1" s="17" t="s">
        <v>98</v>
      </c>
    </row>
    <row r="2">
      <c r="A2" s="16"/>
      <c r="D2" s="14" t="s">
        <v>15</v>
      </c>
      <c r="E2" s="14">
        <v>10.0</v>
      </c>
      <c r="F2" s="17" t="s">
        <v>172</v>
      </c>
    </row>
    <row r="3">
      <c r="A3" s="16"/>
      <c r="D3" s="14" t="s">
        <v>15</v>
      </c>
      <c r="E3" s="14">
        <v>10.0</v>
      </c>
      <c r="F3" s="17" t="s">
        <v>32</v>
      </c>
    </row>
    <row r="4">
      <c r="A4" s="16"/>
      <c r="D4" s="14" t="s">
        <v>15</v>
      </c>
      <c r="E4" s="14">
        <v>10.0</v>
      </c>
      <c r="F4" s="17" t="s">
        <v>16</v>
      </c>
    </row>
    <row r="5">
      <c r="A5" s="16"/>
      <c r="D5" s="14" t="s">
        <v>15</v>
      </c>
      <c r="E5" s="14">
        <v>10.0</v>
      </c>
      <c r="F5" s="17" t="s">
        <v>147</v>
      </c>
    </row>
    <row r="6">
      <c r="A6" s="16"/>
      <c r="D6" s="14" t="s">
        <v>15</v>
      </c>
      <c r="E6" s="14">
        <v>10.0</v>
      </c>
      <c r="F6" s="17" t="s">
        <v>128</v>
      </c>
    </row>
    <row r="7">
      <c r="A7" s="16"/>
      <c r="D7" s="14" t="s">
        <v>15</v>
      </c>
      <c r="E7" s="14">
        <v>10.0</v>
      </c>
      <c r="F7" s="17" t="s">
        <v>193</v>
      </c>
    </row>
    <row r="8">
      <c r="A8" s="16"/>
      <c r="D8" s="14" t="s">
        <v>15</v>
      </c>
      <c r="E8" s="14">
        <v>9.0</v>
      </c>
      <c r="F8" s="17" t="s">
        <v>137</v>
      </c>
    </row>
    <row r="9">
      <c r="A9" s="16"/>
      <c r="D9" s="14" t="s">
        <v>15</v>
      </c>
      <c r="E9" s="14">
        <v>10.0</v>
      </c>
      <c r="F9" s="17" t="s">
        <v>59</v>
      </c>
    </row>
    <row r="10">
      <c r="A10" s="16"/>
      <c r="D10" s="14" t="s">
        <v>15</v>
      </c>
      <c r="E10" s="14">
        <v>9.0</v>
      </c>
      <c r="F10" s="17" t="s">
        <v>183</v>
      </c>
    </row>
    <row r="11">
      <c r="A11" s="16"/>
      <c r="D11" s="14" t="s">
        <v>15</v>
      </c>
      <c r="E11" s="14">
        <v>10.0</v>
      </c>
      <c r="F11" s="17" t="s">
        <v>109</v>
      </c>
    </row>
    <row r="12">
      <c r="A12" s="16"/>
      <c r="D12" s="14" t="s">
        <v>15</v>
      </c>
      <c r="E12" s="14">
        <v>10.0</v>
      </c>
      <c r="F12" s="17" t="s">
        <v>157</v>
      </c>
    </row>
    <row r="14">
      <c r="A14" s="15"/>
      <c r="D14" s="15" t="s">
        <v>233</v>
      </c>
      <c r="E14" s="5">
        <f>AVERAGE(E3:E12,E1)</f>
        <v>9.818181818</v>
      </c>
    </row>
  </sheetData>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v>45987.61548479166</v>
      </c>
      <c r="B1" s="14" t="s">
        <v>7</v>
      </c>
      <c r="C1" s="14">
        <v>2.373778E7</v>
      </c>
      <c r="D1" s="14" t="s">
        <v>17</v>
      </c>
      <c r="E1" s="14">
        <v>10.0</v>
      </c>
      <c r="F1" s="14" t="s">
        <v>18</v>
      </c>
      <c r="G1" s="14" t="s">
        <v>10</v>
      </c>
    </row>
    <row r="2">
      <c r="A2" s="16">
        <v>45987.61557101852</v>
      </c>
      <c r="B2" s="14" t="s">
        <v>45</v>
      </c>
      <c r="C2" s="14">
        <v>2.3940844E7</v>
      </c>
      <c r="D2" s="14" t="s">
        <v>17</v>
      </c>
      <c r="E2" s="14">
        <v>9.0</v>
      </c>
      <c r="F2" s="14" t="s">
        <v>48</v>
      </c>
      <c r="G2" s="14" t="s">
        <v>43</v>
      </c>
    </row>
    <row r="3">
      <c r="A3" s="16">
        <v>45987.615665254634</v>
      </c>
      <c r="B3" s="14" t="s">
        <v>57</v>
      </c>
      <c r="C3" s="14">
        <v>2.4306455E7</v>
      </c>
      <c r="D3" s="14" t="s">
        <v>17</v>
      </c>
      <c r="E3" s="14">
        <v>10.0</v>
      </c>
      <c r="F3" s="14" t="s">
        <v>60</v>
      </c>
      <c r="G3" s="14" t="s">
        <v>56</v>
      </c>
    </row>
    <row r="4">
      <c r="A4" s="16">
        <v>45987.615671203705</v>
      </c>
      <c r="B4" s="14" t="s">
        <v>166</v>
      </c>
      <c r="C4" s="14" t="s">
        <v>167</v>
      </c>
      <c r="D4" s="14" t="s">
        <v>17</v>
      </c>
      <c r="E4" s="14">
        <v>10.0</v>
      </c>
      <c r="F4" s="14" t="s">
        <v>173</v>
      </c>
      <c r="G4" s="14" t="s">
        <v>169</v>
      </c>
    </row>
    <row r="5">
      <c r="A5" s="16">
        <v>45987.615693831016</v>
      </c>
      <c r="B5" s="14" t="s">
        <v>179</v>
      </c>
      <c r="C5" s="14">
        <v>2.4022604E7</v>
      </c>
      <c r="D5" s="14" t="s">
        <v>17</v>
      </c>
      <c r="E5" s="14">
        <v>10.0</v>
      </c>
      <c r="F5" s="14" t="s">
        <v>184</v>
      </c>
      <c r="G5" s="14" t="s">
        <v>181</v>
      </c>
    </row>
    <row r="6">
      <c r="A6" s="16">
        <v>45987.61585509259</v>
      </c>
      <c r="B6" s="14" t="s">
        <v>93</v>
      </c>
      <c r="C6" s="14">
        <v>2.4265502E7</v>
      </c>
      <c r="D6" s="14" t="s">
        <v>17</v>
      </c>
      <c r="E6" s="14">
        <v>10.0</v>
      </c>
      <c r="F6" s="14" t="s">
        <v>99</v>
      </c>
      <c r="G6" s="14" t="s">
        <v>95</v>
      </c>
    </row>
    <row r="7">
      <c r="A7" s="16">
        <v>45987.61629237268</v>
      </c>
      <c r="B7" s="14" t="s">
        <v>143</v>
      </c>
      <c r="C7" s="14">
        <v>2.3759169E7</v>
      </c>
      <c r="D7" s="14" t="s">
        <v>17</v>
      </c>
      <c r="E7" s="14">
        <v>10.0</v>
      </c>
      <c r="F7" s="14" t="s">
        <v>148</v>
      </c>
      <c r="G7" s="14" t="s">
        <v>145</v>
      </c>
    </row>
    <row r="8">
      <c r="A8" s="16">
        <v>45987.61636695602</v>
      </c>
      <c r="B8" s="14" t="s">
        <v>195</v>
      </c>
      <c r="C8" s="14">
        <v>2.4297779E7</v>
      </c>
      <c r="D8" s="14" t="s">
        <v>17</v>
      </c>
      <c r="E8" s="14">
        <v>10.0</v>
      </c>
      <c r="F8" s="14" t="s">
        <v>197</v>
      </c>
      <c r="G8" s="14" t="s">
        <v>191</v>
      </c>
    </row>
    <row r="9">
      <c r="A9" s="16">
        <v>45987.616399907405</v>
      </c>
      <c r="B9" s="14" t="s">
        <v>67</v>
      </c>
      <c r="C9" s="14">
        <v>2.416559E7</v>
      </c>
      <c r="D9" s="14" t="s">
        <v>17</v>
      </c>
      <c r="E9" s="14">
        <v>10.0</v>
      </c>
      <c r="F9" s="14" t="s">
        <v>74</v>
      </c>
      <c r="G9" s="14" t="s">
        <v>69</v>
      </c>
    </row>
    <row r="10">
      <c r="A10" s="16">
        <v>45987.616523379635</v>
      </c>
      <c r="B10" s="14" t="s">
        <v>153</v>
      </c>
      <c r="C10" s="14">
        <v>2.399838E7</v>
      </c>
      <c r="D10" s="14" t="s">
        <v>17</v>
      </c>
      <c r="E10" s="14">
        <v>10.0</v>
      </c>
      <c r="F10" s="14" t="s">
        <v>158</v>
      </c>
      <c r="G10" s="14" t="s">
        <v>155</v>
      </c>
    </row>
    <row r="11">
      <c r="A11" s="16">
        <v>45987.61679958334</v>
      </c>
      <c r="B11" s="14" t="s">
        <v>26</v>
      </c>
      <c r="C11" s="14">
        <v>2.415071E7</v>
      </c>
      <c r="D11" s="14" t="s">
        <v>17</v>
      </c>
      <c r="E11" s="14">
        <v>10.0</v>
      </c>
      <c r="F11" s="14" t="s">
        <v>34</v>
      </c>
      <c r="G11" s="14" t="s">
        <v>28</v>
      </c>
    </row>
    <row r="12">
      <c r="A12" s="16">
        <v>45987.61757809028</v>
      </c>
      <c r="B12" s="14" t="s">
        <v>79</v>
      </c>
      <c r="C12" s="14">
        <v>2.3983447E7</v>
      </c>
      <c r="D12" s="14" t="s">
        <v>17</v>
      </c>
      <c r="E12" s="14">
        <v>10.0</v>
      </c>
      <c r="F12" s="14" t="s">
        <v>84</v>
      </c>
      <c r="G12" s="14" t="s">
        <v>81</v>
      </c>
    </row>
    <row r="13">
      <c r="A13" s="16">
        <v>45987.61953696759</v>
      </c>
      <c r="B13" s="14" t="s">
        <v>133</v>
      </c>
      <c r="C13" s="14">
        <v>2.3871862E7</v>
      </c>
      <c r="D13" s="14" t="s">
        <v>17</v>
      </c>
      <c r="E13" s="14">
        <v>8.0</v>
      </c>
      <c r="F13" s="14" t="s">
        <v>138</v>
      </c>
      <c r="G13" s="14" t="s">
        <v>135</v>
      </c>
    </row>
    <row r="15">
      <c r="A15" s="15" t="s">
        <v>235</v>
      </c>
      <c r="D15" s="15" t="s">
        <v>233</v>
      </c>
      <c r="E15" s="5">
        <f>AVERAGE(E1:E3,E5:E13)</f>
        <v>9.75</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96.13"/>
  </cols>
  <sheetData>
    <row r="1">
      <c r="A1" s="16"/>
      <c r="D1" s="14" t="s">
        <v>17</v>
      </c>
      <c r="E1" s="14">
        <v>10.0</v>
      </c>
      <c r="F1" s="17" t="s">
        <v>18</v>
      </c>
    </row>
    <row r="2">
      <c r="A2" s="16"/>
      <c r="D2" s="14" t="s">
        <v>17</v>
      </c>
      <c r="E2" s="14">
        <v>9.0</v>
      </c>
      <c r="F2" s="17" t="s">
        <v>48</v>
      </c>
    </row>
    <row r="3">
      <c r="A3" s="16"/>
      <c r="D3" s="14" t="s">
        <v>17</v>
      </c>
      <c r="E3" s="14">
        <v>10.0</v>
      </c>
      <c r="F3" s="17" t="s">
        <v>60</v>
      </c>
    </row>
    <row r="4">
      <c r="A4" s="16"/>
      <c r="D4" s="14" t="s">
        <v>17</v>
      </c>
      <c r="E4" s="14">
        <v>10.0</v>
      </c>
      <c r="F4" s="17" t="s">
        <v>173</v>
      </c>
    </row>
    <row r="5">
      <c r="A5" s="16"/>
      <c r="D5" s="14" t="s">
        <v>17</v>
      </c>
      <c r="E5" s="14">
        <v>10.0</v>
      </c>
      <c r="F5" s="17" t="s">
        <v>184</v>
      </c>
    </row>
    <row r="6">
      <c r="A6" s="16"/>
      <c r="D6" s="14" t="s">
        <v>17</v>
      </c>
      <c r="E6" s="14">
        <v>10.0</v>
      </c>
      <c r="F6" s="17" t="s">
        <v>99</v>
      </c>
    </row>
    <row r="7">
      <c r="A7" s="16"/>
      <c r="D7" s="14" t="s">
        <v>17</v>
      </c>
      <c r="E7" s="14">
        <v>10.0</v>
      </c>
      <c r="F7" s="17" t="s">
        <v>148</v>
      </c>
    </row>
    <row r="8">
      <c r="A8" s="16"/>
      <c r="D8" s="14" t="s">
        <v>17</v>
      </c>
      <c r="E8" s="14">
        <v>10.0</v>
      </c>
      <c r="F8" s="17" t="s">
        <v>197</v>
      </c>
    </row>
    <row r="9">
      <c r="A9" s="16"/>
      <c r="D9" s="14" t="s">
        <v>17</v>
      </c>
      <c r="E9" s="14">
        <v>10.0</v>
      </c>
      <c r="F9" s="17" t="s">
        <v>74</v>
      </c>
    </row>
    <row r="10">
      <c r="A10" s="16"/>
      <c r="D10" s="14" t="s">
        <v>17</v>
      </c>
      <c r="E10" s="14">
        <v>10.0</v>
      </c>
      <c r="F10" s="17" t="s">
        <v>158</v>
      </c>
    </row>
    <row r="11">
      <c r="A11" s="16"/>
      <c r="D11" s="14" t="s">
        <v>17</v>
      </c>
      <c r="E11" s="14">
        <v>10.0</v>
      </c>
      <c r="F11" s="17" t="s">
        <v>34</v>
      </c>
    </row>
    <row r="12">
      <c r="A12" s="16"/>
      <c r="D12" s="14" t="s">
        <v>17</v>
      </c>
      <c r="E12" s="14">
        <v>10.0</v>
      </c>
      <c r="F12" s="17" t="s">
        <v>84</v>
      </c>
    </row>
    <row r="13">
      <c r="A13" s="16"/>
      <c r="D13" s="14" t="s">
        <v>17</v>
      </c>
      <c r="E13" s="14">
        <v>8.0</v>
      </c>
      <c r="F13" s="17" t="s">
        <v>138</v>
      </c>
    </row>
    <row r="15">
      <c r="A15" s="15"/>
      <c r="D15" s="15" t="s">
        <v>233</v>
      </c>
      <c r="E15" s="5">
        <f>AVERAGE(E1:E3,E5:E13)</f>
        <v>9.75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v>45987.634377083334</v>
      </c>
      <c r="B1" s="14" t="s">
        <v>153</v>
      </c>
      <c r="C1" s="14">
        <v>2.399838E7</v>
      </c>
      <c r="D1" s="14" t="s">
        <v>19</v>
      </c>
      <c r="E1" s="14">
        <v>10.0</v>
      </c>
      <c r="F1" s="14" t="s">
        <v>159</v>
      </c>
      <c r="G1" s="14" t="s">
        <v>155</v>
      </c>
    </row>
    <row r="2">
      <c r="A2" s="16">
        <v>45987.63600267361</v>
      </c>
      <c r="B2" s="14" t="s">
        <v>93</v>
      </c>
      <c r="C2" s="14">
        <v>2.4265502E7</v>
      </c>
      <c r="D2" s="14" t="s">
        <v>19</v>
      </c>
      <c r="E2" s="14">
        <v>10.0</v>
      </c>
      <c r="F2" s="14" t="s">
        <v>100</v>
      </c>
      <c r="G2" s="14" t="s">
        <v>95</v>
      </c>
    </row>
    <row r="3">
      <c r="A3" s="16">
        <v>45987.63664196759</v>
      </c>
      <c r="B3" s="14" t="s">
        <v>93</v>
      </c>
      <c r="C3" s="14">
        <v>2.4265502E7</v>
      </c>
      <c r="D3" s="14" t="s">
        <v>19</v>
      </c>
      <c r="E3" s="14">
        <v>10.0</v>
      </c>
      <c r="F3" s="14" t="s">
        <v>97</v>
      </c>
      <c r="G3" s="14" t="s">
        <v>95</v>
      </c>
    </row>
    <row r="4">
      <c r="A4" s="16">
        <v>45987.63840603009</v>
      </c>
      <c r="B4" s="14" t="s">
        <v>166</v>
      </c>
      <c r="C4" s="14" t="s">
        <v>167</v>
      </c>
      <c r="D4" s="14" t="s">
        <v>19</v>
      </c>
      <c r="E4" s="14">
        <v>10.0</v>
      </c>
      <c r="F4" s="14" t="s">
        <v>174</v>
      </c>
      <c r="G4" s="14" t="s">
        <v>169</v>
      </c>
    </row>
    <row r="5">
      <c r="A5" s="16">
        <v>45987.63862091435</v>
      </c>
      <c r="B5" s="14" t="s">
        <v>7</v>
      </c>
      <c r="C5" s="14">
        <v>2.373778E7</v>
      </c>
      <c r="D5" s="14" t="s">
        <v>19</v>
      </c>
      <c r="E5" s="14">
        <v>10.0</v>
      </c>
      <c r="F5" s="14" t="s">
        <v>20</v>
      </c>
      <c r="G5" s="14" t="s">
        <v>10</v>
      </c>
    </row>
    <row r="6">
      <c r="A6" s="16">
        <v>45987.6390556713</v>
      </c>
      <c r="B6" s="14" t="s">
        <v>26</v>
      </c>
      <c r="C6" s="14">
        <v>2.415071E7</v>
      </c>
      <c r="D6" s="14" t="s">
        <v>19</v>
      </c>
      <c r="E6" s="14">
        <v>10.0</v>
      </c>
      <c r="F6" s="14" t="s">
        <v>35</v>
      </c>
      <c r="G6" s="14" t="s">
        <v>30</v>
      </c>
    </row>
    <row r="7">
      <c r="A7" s="16">
        <v>45987.63926435185</v>
      </c>
      <c r="B7" s="14" t="s">
        <v>133</v>
      </c>
      <c r="C7" s="14">
        <v>2.3871862E7</v>
      </c>
      <c r="D7" s="14" t="s">
        <v>19</v>
      </c>
      <c r="E7" s="14">
        <v>9.0</v>
      </c>
      <c r="F7" s="14" t="s">
        <v>139</v>
      </c>
      <c r="G7" s="14" t="s">
        <v>135</v>
      </c>
    </row>
    <row r="8">
      <c r="A8" s="16">
        <v>45987.63957342593</v>
      </c>
      <c r="B8" s="14" t="s">
        <v>45</v>
      </c>
      <c r="C8" s="14">
        <v>2.3940844E7</v>
      </c>
      <c r="D8" s="14" t="s">
        <v>19</v>
      </c>
      <c r="E8" s="14">
        <v>10.0</v>
      </c>
      <c r="F8" s="14" t="s">
        <v>49</v>
      </c>
      <c r="G8" s="14" t="s">
        <v>43</v>
      </c>
    </row>
    <row r="9">
      <c r="A9" s="16">
        <v>45987.63973846065</v>
      </c>
      <c r="B9" s="14" t="s">
        <v>104</v>
      </c>
      <c r="C9" s="14">
        <v>2.3930236E7</v>
      </c>
      <c r="D9" s="14" t="s">
        <v>19</v>
      </c>
      <c r="E9" s="14">
        <v>8.0</v>
      </c>
      <c r="F9" s="14" t="s">
        <v>110</v>
      </c>
      <c r="G9" s="14" t="s">
        <v>106</v>
      </c>
    </row>
    <row r="10">
      <c r="A10" s="16">
        <v>45987.63974039352</v>
      </c>
      <c r="B10" s="14" t="s">
        <v>123</v>
      </c>
      <c r="C10" s="14">
        <v>2.414914E7</v>
      </c>
      <c r="D10" s="14" t="s">
        <v>19</v>
      </c>
      <c r="E10" s="14">
        <v>9.0</v>
      </c>
      <c r="F10" s="14" t="s">
        <v>129</v>
      </c>
      <c r="G10" s="14" t="s">
        <v>125</v>
      </c>
    </row>
    <row r="11">
      <c r="A11" s="16">
        <v>45987.63974837963</v>
      </c>
      <c r="B11" s="14" t="s">
        <v>143</v>
      </c>
      <c r="C11" s="14">
        <v>2.3759169E7</v>
      </c>
      <c r="D11" s="14" t="s">
        <v>19</v>
      </c>
      <c r="E11" s="14">
        <v>10.0</v>
      </c>
      <c r="F11" s="14" t="s">
        <v>149</v>
      </c>
      <c r="G11" s="14" t="s">
        <v>145</v>
      </c>
    </row>
    <row r="12">
      <c r="A12" s="16">
        <v>45987.63986239584</v>
      </c>
      <c r="B12" s="14" t="s">
        <v>57</v>
      </c>
      <c r="C12" s="14">
        <v>2.4306455E7</v>
      </c>
      <c r="D12" s="14" t="s">
        <v>19</v>
      </c>
      <c r="E12" s="14">
        <v>10.0</v>
      </c>
      <c r="F12" s="14" t="s">
        <v>61</v>
      </c>
      <c r="G12" s="14" t="s">
        <v>56</v>
      </c>
    </row>
    <row r="13">
      <c r="A13" s="16">
        <v>45987.63987760417</v>
      </c>
      <c r="B13" s="14" t="s">
        <v>79</v>
      </c>
      <c r="C13" s="14">
        <v>2.3983447E7</v>
      </c>
      <c r="D13" s="14" t="s">
        <v>19</v>
      </c>
      <c r="E13" s="14">
        <v>10.0</v>
      </c>
      <c r="F13" s="14" t="s">
        <v>85</v>
      </c>
      <c r="G13" s="14" t="s">
        <v>81</v>
      </c>
    </row>
    <row r="14">
      <c r="A14" s="18">
        <v>45987.64014072917</v>
      </c>
      <c r="B14" s="19" t="s">
        <v>195</v>
      </c>
      <c r="C14" s="19">
        <v>2.4297779E7</v>
      </c>
      <c r="D14" s="19" t="s">
        <v>19</v>
      </c>
      <c r="E14" s="19">
        <v>10.0</v>
      </c>
      <c r="F14" s="19" t="s">
        <v>198</v>
      </c>
      <c r="G14" s="19" t="s">
        <v>191</v>
      </c>
    </row>
    <row r="15">
      <c r="A15" s="18">
        <v>45987.6408185301</v>
      </c>
      <c r="B15" s="19" t="s">
        <v>67</v>
      </c>
      <c r="C15" s="19">
        <v>2.416559E7</v>
      </c>
      <c r="D15" s="19" t="s">
        <v>19</v>
      </c>
      <c r="E15" s="19">
        <v>10.0</v>
      </c>
      <c r="F15" s="19" t="s">
        <v>75</v>
      </c>
      <c r="G15" s="19" t="s">
        <v>69</v>
      </c>
    </row>
    <row r="16">
      <c r="A16" s="18">
        <v>45987.6408912037</v>
      </c>
      <c r="B16" s="19" t="s">
        <v>119</v>
      </c>
      <c r="C16" s="19">
        <v>2.4288209E7</v>
      </c>
      <c r="D16" s="19" t="s">
        <v>19</v>
      </c>
      <c r="E16" s="19">
        <v>10.0</v>
      </c>
      <c r="F16" s="19" t="s">
        <v>121</v>
      </c>
      <c r="G16" s="19" t="s">
        <v>118</v>
      </c>
    </row>
    <row r="17">
      <c r="A17" s="18">
        <v>45987.64447459491</v>
      </c>
      <c r="B17" s="19" t="s">
        <v>179</v>
      </c>
      <c r="C17" s="19">
        <v>2.4022604E7</v>
      </c>
      <c r="D17" s="19" t="s">
        <v>19</v>
      </c>
      <c r="E17" s="19">
        <v>9.0</v>
      </c>
      <c r="F17" s="19" t="s">
        <v>185</v>
      </c>
      <c r="G17" s="19" t="s">
        <v>181</v>
      </c>
    </row>
    <row r="19">
      <c r="A19" s="15" t="s">
        <v>236</v>
      </c>
      <c r="D19" s="15" t="s">
        <v>233</v>
      </c>
      <c r="E19" s="5">
        <f>AVERAGE(E5:E17,E1,E2,E3)</f>
        <v>9.6875</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82.13"/>
  </cols>
  <sheetData>
    <row r="1">
      <c r="A1" s="16"/>
      <c r="D1" s="14" t="s">
        <v>19</v>
      </c>
      <c r="E1" s="14">
        <v>10.0</v>
      </c>
      <c r="F1" s="17" t="s">
        <v>159</v>
      </c>
    </row>
    <row r="2">
      <c r="A2" s="16"/>
      <c r="D2" s="14" t="s">
        <v>19</v>
      </c>
      <c r="E2" s="14">
        <v>10.0</v>
      </c>
      <c r="F2" s="17" t="s">
        <v>100</v>
      </c>
    </row>
    <row r="3">
      <c r="A3" s="16"/>
      <c r="D3" s="14" t="s">
        <v>19</v>
      </c>
      <c r="E3" s="14">
        <v>10.0</v>
      </c>
      <c r="F3" s="17" t="s">
        <v>97</v>
      </c>
    </row>
    <row r="4">
      <c r="A4" s="16"/>
      <c r="D4" s="14" t="s">
        <v>19</v>
      </c>
      <c r="E4" s="14">
        <v>10.0</v>
      </c>
      <c r="F4" s="17" t="s">
        <v>174</v>
      </c>
    </row>
    <row r="5">
      <c r="A5" s="16"/>
      <c r="D5" s="14" t="s">
        <v>19</v>
      </c>
      <c r="E5" s="14">
        <v>10.0</v>
      </c>
      <c r="F5" s="17" t="s">
        <v>20</v>
      </c>
    </row>
    <row r="6">
      <c r="A6" s="16"/>
      <c r="D6" s="14" t="s">
        <v>19</v>
      </c>
      <c r="E6" s="14">
        <v>10.0</v>
      </c>
      <c r="F6" s="17" t="s">
        <v>35</v>
      </c>
    </row>
    <row r="7">
      <c r="A7" s="16"/>
      <c r="D7" s="14" t="s">
        <v>19</v>
      </c>
      <c r="E7" s="14">
        <v>9.0</v>
      </c>
      <c r="F7" s="17" t="s">
        <v>139</v>
      </c>
    </row>
    <row r="8">
      <c r="A8" s="16"/>
      <c r="D8" s="14" t="s">
        <v>19</v>
      </c>
      <c r="E8" s="14">
        <v>10.0</v>
      </c>
      <c r="F8" s="17" t="s">
        <v>49</v>
      </c>
    </row>
    <row r="9">
      <c r="A9" s="16"/>
      <c r="D9" s="14" t="s">
        <v>19</v>
      </c>
      <c r="E9" s="14">
        <v>8.0</v>
      </c>
      <c r="F9" s="17" t="s">
        <v>110</v>
      </c>
    </row>
    <row r="10">
      <c r="A10" s="16"/>
      <c r="D10" s="14" t="s">
        <v>19</v>
      </c>
      <c r="E10" s="14">
        <v>9.0</v>
      </c>
      <c r="F10" s="17" t="s">
        <v>129</v>
      </c>
    </row>
    <row r="11">
      <c r="A11" s="16"/>
      <c r="D11" s="14" t="s">
        <v>19</v>
      </c>
      <c r="E11" s="14">
        <v>10.0</v>
      </c>
      <c r="F11" s="17" t="s">
        <v>149</v>
      </c>
    </row>
    <row r="12">
      <c r="A12" s="16"/>
      <c r="D12" s="14" t="s">
        <v>19</v>
      </c>
      <c r="E12" s="14">
        <v>10.0</v>
      </c>
      <c r="F12" s="17" t="s">
        <v>61</v>
      </c>
    </row>
    <row r="13">
      <c r="A13" s="16"/>
      <c r="D13" s="14" t="s">
        <v>19</v>
      </c>
      <c r="E13" s="14">
        <v>10.0</v>
      </c>
      <c r="F13" s="17" t="s">
        <v>85</v>
      </c>
    </row>
    <row r="14">
      <c r="A14" s="18"/>
      <c r="B14" s="19"/>
      <c r="C14" s="19"/>
      <c r="D14" s="19" t="s">
        <v>19</v>
      </c>
      <c r="E14" s="19">
        <v>10.0</v>
      </c>
      <c r="F14" s="20" t="s">
        <v>198</v>
      </c>
      <c r="G14" s="19"/>
    </row>
    <row r="15">
      <c r="A15" s="18"/>
      <c r="B15" s="19"/>
      <c r="C15" s="19"/>
      <c r="D15" s="19" t="s">
        <v>19</v>
      </c>
      <c r="E15" s="19">
        <v>10.0</v>
      </c>
      <c r="F15" s="20" t="s">
        <v>75</v>
      </c>
      <c r="G15" s="19"/>
    </row>
    <row r="16">
      <c r="A16" s="18"/>
      <c r="B16" s="19"/>
      <c r="C16" s="19"/>
      <c r="D16" s="19" t="s">
        <v>19</v>
      </c>
      <c r="E16" s="19">
        <v>10.0</v>
      </c>
      <c r="F16" s="20" t="s">
        <v>121</v>
      </c>
      <c r="G16" s="19"/>
    </row>
    <row r="17">
      <c r="A17" s="18"/>
      <c r="B17" s="19"/>
      <c r="C17" s="19"/>
      <c r="D17" s="19" t="s">
        <v>19</v>
      </c>
      <c r="E17" s="19">
        <v>9.0</v>
      </c>
      <c r="F17" s="20" t="s">
        <v>185</v>
      </c>
      <c r="G17" s="19"/>
    </row>
    <row r="19">
      <c r="A19" s="15"/>
      <c r="D19" s="15" t="s">
        <v>233</v>
      </c>
      <c r="E19" s="5">
        <f>AVERAGE(E5:E17,E1,E2,E3)</f>
        <v>9.6875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63"/>
  </cols>
  <sheetData>
    <row r="1">
      <c r="A1" s="16">
        <v>45987.63345197917</v>
      </c>
      <c r="B1" s="14" t="s">
        <v>153</v>
      </c>
      <c r="C1" s="14">
        <v>2.399838E7</v>
      </c>
      <c r="D1" s="14" t="s">
        <v>21</v>
      </c>
      <c r="E1" s="14">
        <v>10.0</v>
      </c>
      <c r="F1" s="14" t="s">
        <v>160</v>
      </c>
      <c r="G1" s="14" t="s">
        <v>155</v>
      </c>
    </row>
    <row r="2">
      <c r="A2" s="16">
        <v>45987.634243252316</v>
      </c>
      <c r="B2" s="14" t="s">
        <v>7</v>
      </c>
      <c r="C2" s="14">
        <v>2.373778E7</v>
      </c>
      <c r="D2" s="14" t="s">
        <v>21</v>
      </c>
      <c r="E2" s="14">
        <v>10.0</v>
      </c>
      <c r="F2" s="14" t="s">
        <v>9</v>
      </c>
      <c r="G2" s="14" t="s">
        <v>10</v>
      </c>
    </row>
    <row r="3">
      <c r="A3" s="16">
        <v>45987.63513767361</v>
      </c>
      <c r="B3" s="14" t="s">
        <v>41</v>
      </c>
      <c r="C3" s="14">
        <v>2.3940844E7</v>
      </c>
      <c r="D3" s="14" t="s">
        <v>21</v>
      </c>
      <c r="E3" s="14">
        <v>10.0</v>
      </c>
      <c r="F3" s="14" t="s">
        <v>44</v>
      </c>
      <c r="G3" s="14" t="s">
        <v>43</v>
      </c>
    </row>
    <row r="4">
      <c r="A4" s="16">
        <v>45987.63566335649</v>
      </c>
      <c r="B4" s="14" t="s">
        <v>57</v>
      </c>
      <c r="C4" s="14">
        <v>2.4306455E7</v>
      </c>
      <c r="D4" s="14" t="s">
        <v>21</v>
      </c>
      <c r="E4" s="14">
        <v>10.0</v>
      </c>
      <c r="F4" s="14" t="s">
        <v>62</v>
      </c>
      <c r="G4" s="14" t="s">
        <v>56</v>
      </c>
    </row>
    <row r="5">
      <c r="A5" s="16">
        <v>45987.635677199076</v>
      </c>
      <c r="B5" s="14" t="s">
        <v>104</v>
      </c>
      <c r="C5" s="14">
        <v>2.3930236E7</v>
      </c>
      <c r="D5" s="14" t="s">
        <v>21</v>
      </c>
      <c r="E5" s="14">
        <v>10.0</v>
      </c>
      <c r="F5" s="14" t="s">
        <v>111</v>
      </c>
      <c r="G5" s="14" t="s">
        <v>106</v>
      </c>
    </row>
    <row r="6">
      <c r="A6" s="16">
        <v>45987.6356841088</v>
      </c>
      <c r="B6" s="14" t="s">
        <v>143</v>
      </c>
      <c r="C6" s="14">
        <v>2.3759169E7</v>
      </c>
      <c r="D6" s="14" t="s">
        <v>21</v>
      </c>
      <c r="E6" s="14">
        <v>10.0</v>
      </c>
      <c r="F6" s="14" t="s">
        <v>150</v>
      </c>
      <c r="G6" s="14" t="s">
        <v>145</v>
      </c>
    </row>
    <row r="7">
      <c r="A7" s="16">
        <v>45987.63568875</v>
      </c>
      <c r="B7" s="14" t="s">
        <v>123</v>
      </c>
      <c r="C7" s="14">
        <v>2.414914E7</v>
      </c>
      <c r="D7" s="14" t="s">
        <v>21</v>
      </c>
      <c r="E7" s="14">
        <v>10.0</v>
      </c>
      <c r="F7" s="14" t="s">
        <v>130</v>
      </c>
      <c r="G7" s="14" t="s">
        <v>125</v>
      </c>
    </row>
    <row r="8">
      <c r="A8" s="16">
        <v>45987.635816793976</v>
      </c>
      <c r="B8" s="14" t="s">
        <v>26</v>
      </c>
      <c r="C8" s="14">
        <v>2.415071E7</v>
      </c>
      <c r="D8" s="14" t="s">
        <v>21</v>
      </c>
      <c r="E8" s="14">
        <v>10.0</v>
      </c>
      <c r="F8" s="14" t="s">
        <v>36</v>
      </c>
      <c r="G8" s="14" t="s">
        <v>30</v>
      </c>
    </row>
    <row r="9">
      <c r="A9" s="16">
        <v>45987.63581877315</v>
      </c>
      <c r="B9" s="14" t="s">
        <v>179</v>
      </c>
      <c r="C9" s="14">
        <v>2.4022604E7</v>
      </c>
      <c r="D9" s="14" t="s">
        <v>21</v>
      </c>
      <c r="E9" s="14">
        <v>10.0</v>
      </c>
      <c r="F9" s="14" t="s">
        <v>186</v>
      </c>
      <c r="G9" s="14" t="s">
        <v>181</v>
      </c>
    </row>
    <row r="10">
      <c r="A10" s="16">
        <v>45987.63597791667</v>
      </c>
      <c r="B10" s="14" t="s">
        <v>133</v>
      </c>
      <c r="C10" s="14">
        <v>2.3871862E7</v>
      </c>
      <c r="D10" s="14" t="s">
        <v>21</v>
      </c>
      <c r="E10" s="14">
        <v>8.0</v>
      </c>
      <c r="F10" s="14" t="s">
        <v>140</v>
      </c>
      <c r="G10" s="14" t="s">
        <v>135</v>
      </c>
    </row>
    <row r="11">
      <c r="A11" s="16">
        <v>45987.6360334375</v>
      </c>
      <c r="B11" s="14" t="s">
        <v>195</v>
      </c>
      <c r="C11" s="14">
        <v>2.4297779E7</v>
      </c>
      <c r="D11" s="14" t="s">
        <v>21</v>
      </c>
      <c r="E11" s="14">
        <v>10.0</v>
      </c>
      <c r="F11" s="14" t="s">
        <v>199</v>
      </c>
      <c r="G11" s="14" t="s">
        <v>191</v>
      </c>
    </row>
    <row r="12">
      <c r="A12" s="16">
        <v>45987.63606429398</v>
      </c>
      <c r="B12" s="14" t="s">
        <v>79</v>
      </c>
      <c r="C12" s="14">
        <v>2.3983447E7</v>
      </c>
      <c r="D12" s="14" t="s">
        <v>21</v>
      </c>
      <c r="E12" s="14">
        <v>10.0</v>
      </c>
      <c r="F12" s="14" t="s">
        <v>86</v>
      </c>
      <c r="G12" s="14" t="s">
        <v>81</v>
      </c>
    </row>
    <row r="13">
      <c r="A13" s="16">
        <v>45987.63606488426</v>
      </c>
      <c r="B13" s="14" t="s">
        <v>166</v>
      </c>
      <c r="C13" s="14" t="s">
        <v>167</v>
      </c>
      <c r="D13" s="14" t="s">
        <v>21</v>
      </c>
      <c r="E13" s="14">
        <v>10.0</v>
      </c>
      <c r="F13" s="14" t="s">
        <v>175</v>
      </c>
      <c r="G13" s="14" t="s">
        <v>169</v>
      </c>
    </row>
    <row r="15">
      <c r="A15" s="15" t="s">
        <v>235</v>
      </c>
      <c r="D15" s="15" t="s">
        <v>233</v>
      </c>
      <c r="E15" s="5">
        <f>AVERAGE(E1:E12)</f>
        <v>9.833333333</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26.63"/>
    <col customWidth="1" min="6" max="6" width="66.5"/>
  </cols>
  <sheetData>
    <row r="1">
      <c r="A1" s="16"/>
      <c r="D1" s="14" t="s">
        <v>21</v>
      </c>
      <c r="E1" s="14">
        <v>10.0</v>
      </c>
      <c r="F1" s="17" t="s">
        <v>160</v>
      </c>
    </row>
    <row r="2">
      <c r="A2" s="16"/>
      <c r="D2" s="14" t="s">
        <v>21</v>
      </c>
      <c r="E2" s="14">
        <v>10.0</v>
      </c>
      <c r="F2" s="17" t="s">
        <v>9</v>
      </c>
    </row>
    <row r="3">
      <c r="A3" s="16"/>
      <c r="D3" s="14" t="s">
        <v>21</v>
      </c>
      <c r="E3" s="14">
        <v>10.0</v>
      </c>
      <c r="F3" s="17" t="s">
        <v>44</v>
      </c>
    </row>
    <row r="4">
      <c r="A4" s="16"/>
      <c r="D4" s="14" t="s">
        <v>21</v>
      </c>
      <c r="E4" s="14">
        <v>10.0</v>
      </c>
      <c r="F4" s="17" t="s">
        <v>62</v>
      </c>
    </row>
    <row r="5">
      <c r="A5" s="16"/>
      <c r="D5" s="14" t="s">
        <v>21</v>
      </c>
      <c r="E5" s="14">
        <v>10.0</v>
      </c>
      <c r="F5" s="17" t="s">
        <v>111</v>
      </c>
    </row>
    <row r="6">
      <c r="A6" s="16"/>
      <c r="D6" s="14" t="s">
        <v>21</v>
      </c>
      <c r="E6" s="14">
        <v>10.0</v>
      </c>
      <c r="F6" s="17" t="s">
        <v>150</v>
      </c>
    </row>
    <row r="7">
      <c r="A7" s="16"/>
      <c r="D7" s="14" t="s">
        <v>21</v>
      </c>
      <c r="E7" s="14">
        <v>10.0</v>
      </c>
      <c r="F7" s="17" t="s">
        <v>130</v>
      </c>
    </row>
    <row r="8">
      <c r="A8" s="16"/>
      <c r="D8" s="14" t="s">
        <v>21</v>
      </c>
      <c r="E8" s="14">
        <v>10.0</v>
      </c>
      <c r="F8" s="17" t="s">
        <v>36</v>
      </c>
    </row>
    <row r="9">
      <c r="A9" s="16"/>
      <c r="D9" s="14" t="s">
        <v>21</v>
      </c>
      <c r="E9" s="14">
        <v>10.0</v>
      </c>
      <c r="F9" s="17" t="s">
        <v>186</v>
      </c>
    </row>
    <row r="10">
      <c r="A10" s="16"/>
      <c r="D10" s="14" t="s">
        <v>21</v>
      </c>
      <c r="E10" s="14">
        <v>8.0</v>
      </c>
      <c r="F10" s="17" t="s">
        <v>140</v>
      </c>
    </row>
    <row r="11">
      <c r="A11" s="16"/>
      <c r="D11" s="14" t="s">
        <v>21</v>
      </c>
      <c r="E11" s="14">
        <v>10.0</v>
      </c>
      <c r="F11" s="17" t="s">
        <v>199</v>
      </c>
    </row>
    <row r="12">
      <c r="A12" s="16"/>
      <c r="D12" s="14" t="s">
        <v>21</v>
      </c>
      <c r="E12" s="14">
        <v>10.0</v>
      </c>
      <c r="F12" s="17" t="s">
        <v>86</v>
      </c>
    </row>
    <row r="13">
      <c r="A13" s="16"/>
      <c r="D13" s="14" t="s">
        <v>21</v>
      </c>
      <c r="E13" s="14">
        <v>10.0</v>
      </c>
      <c r="F13" s="17" t="s">
        <v>175</v>
      </c>
    </row>
    <row r="15">
      <c r="A15" s="15"/>
      <c r="D15" s="15" t="s">
        <v>233</v>
      </c>
      <c r="E15" s="5">
        <f>AVERAGE(E1:E12)</f>
        <v>9.833333333</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v>45987.6108608912</v>
      </c>
      <c r="B1" s="14" t="s">
        <v>45</v>
      </c>
      <c r="C1" s="14">
        <v>2.3940844E7</v>
      </c>
      <c r="D1" s="14" t="s">
        <v>22</v>
      </c>
      <c r="E1" s="14">
        <v>10.0</v>
      </c>
      <c r="F1" s="14" t="s">
        <v>50</v>
      </c>
      <c r="G1" s="14" t="s">
        <v>43</v>
      </c>
    </row>
    <row r="2">
      <c r="A2" s="16">
        <v>45987.610907650465</v>
      </c>
      <c r="B2" s="14" t="s">
        <v>166</v>
      </c>
      <c r="C2" s="14" t="s">
        <v>167</v>
      </c>
      <c r="D2" s="14" t="s">
        <v>22</v>
      </c>
      <c r="E2" s="14">
        <v>10.0</v>
      </c>
      <c r="F2" s="14" t="s">
        <v>176</v>
      </c>
      <c r="G2" s="14" t="s">
        <v>169</v>
      </c>
    </row>
    <row r="3">
      <c r="A3" s="16">
        <v>45987.6109153588</v>
      </c>
      <c r="B3" s="14" t="s">
        <v>179</v>
      </c>
      <c r="C3" s="14">
        <v>2.4022604E7</v>
      </c>
      <c r="D3" s="14" t="s">
        <v>22</v>
      </c>
      <c r="E3" s="14">
        <v>10.0</v>
      </c>
      <c r="F3" s="14" t="s">
        <v>187</v>
      </c>
      <c r="G3" s="14" t="s">
        <v>181</v>
      </c>
    </row>
    <row r="4">
      <c r="A4" s="16">
        <v>45987.61094731481</v>
      </c>
      <c r="B4" s="14" t="s">
        <v>104</v>
      </c>
      <c r="C4" s="14">
        <v>2.3930236E7</v>
      </c>
      <c r="D4" s="14" t="s">
        <v>22</v>
      </c>
      <c r="E4" s="14">
        <v>10.0</v>
      </c>
      <c r="F4" s="14" t="s">
        <v>112</v>
      </c>
      <c r="G4" s="14" t="s">
        <v>106</v>
      </c>
    </row>
    <row r="5">
      <c r="A5" s="16">
        <v>45987.61099302083</v>
      </c>
      <c r="B5" s="14" t="s">
        <v>67</v>
      </c>
      <c r="C5" s="14">
        <v>2.416559E7</v>
      </c>
      <c r="D5" s="14" t="s">
        <v>22</v>
      </c>
      <c r="E5" s="14">
        <v>10.0</v>
      </c>
      <c r="F5" s="14" t="s">
        <v>76</v>
      </c>
      <c r="G5" s="14" t="s">
        <v>69</v>
      </c>
    </row>
    <row r="6">
      <c r="A6" s="16">
        <v>45987.611019108794</v>
      </c>
      <c r="B6" s="14" t="s">
        <v>57</v>
      </c>
      <c r="C6" s="14">
        <v>2.4306455E7</v>
      </c>
      <c r="D6" s="14" t="s">
        <v>22</v>
      </c>
      <c r="E6" s="14">
        <v>10.0</v>
      </c>
      <c r="F6" s="14" t="s">
        <v>63</v>
      </c>
      <c r="G6" s="14" t="s">
        <v>56</v>
      </c>
    </row>
    <row r="7">
      <c r="A7" s="16">
        <v>45987.61101920139</v>
      </c>
      <c r="B7" s="14" t="s">
        <v>7</v>
      </c>
      <c r="C7" s="14">
        <v>2.373778E7</v>
      </c>
      <c r="D7" s="14" t="s">
        <v>22</v>
      </c>
      <c r="E7" s="14">
        <v>10.0</v>
      </c>
      <c r="F7" s="14" t="s">
        <v>23</v>
      </c>
      <c r="G7" s="14" t="s">
        <v>10</v>
      </c>
    </row>
    <row r="8">
      <c r="A8" s="16">
        <v>45987.611090300925</v>
      </c>
      <c r="B8" s="14" t="s">
        <v>123</v>
      </c>
      <c r="C8" s="14">
        <v>2.414914E7</v>
      </c>
      <c r="D8" s="14" t="s">
        <v>22</v>
      </c>
      <c r="E8" s="14">
        <v>9.0</v>
      </c>
      <c r="F8" s="14" t="s">
        <v>131</v>
      </c>
      <c r="G8" s="14" t="s">
        <v>125</v>
      </c>
    </row>
    <row r="9">
      <c r="A9" s="16">
        <v>45987.61128869213</v>
      </c>
      <c r="B9" s="14" t="s">
        <v>143</v>
      </c>
      <c r="C9" s="14">
        <v>2.3759169E7</v>
      </c>
      <c r="D9" s="14" t="s">
        <v>22</v>
      </c>
      <c r="E9" s="14">
        <v>10.0</v>
      </c>
      <c r="F9" s="14" t="s">
        <v>151</v>
      </c>
      <c r="G9" s="14" t="s">
        <v>145</v>
      </c>
    </row>
    <row r="10">
      <c r="A10" s="16">
        <v>45987.61177584491</v>
      </c>
      <c r="B10" s="14" t="s">
        <v>39</v>
      </c>
      <c r="C10" s="14">
        <v>2.415071E7</v>
      </c>
      <c r="D10" s="14" t="s">
        <v>22</v>
      </c>
      <c r="E10" s="14">
        <v>10.0</v>
      </c>
      <c r="F10" s="14" t="s">
        <v>40</v>
      </c>
      <c r="G10" s="14" t="s">
        <v>28</v>
      </c>
    </row>
    <row r="11">
      <c r="A11" s="16">
        <v>45987.611900289354</v>
      </c>
      <c r="B11" s="14" t="s">
        <v>161</v>
      </c>
      <c r="C11" s="14">
        <v>2.399838E7</v>
      </c>
      <c r="D11" s="14" t="s">
        <v>22</v>
      </c>
      <c r="E11" s="14">
        <v>10.0</v>
      </c>
      <c r="F11" s="14" t="s">
        <v>162</v>
      </c>
      <c r="G11" s="14" t="s">
        <v>155</v>
      </c>
    </row>
    <row r="12">
      <c r="A12" s="16">
        <v>45987.612214479166</v>
      </c>
      <c r="B12" s="14" t="s">
        <v>79</v>
      </c>
      <c r="C12" s="14">
        <v>2.3983447E7</v>
      </c>
      <c r="D12" s="14" t="s">
        <v>22</v>
      </c>
      <c r="E12" s="14">
        <v>10.0</v>
      </c>
      <c r="F12" s="14" t="s">
        <v>87</v>
      </c>
      <c r="G12" s="14" t="s">
        <v>81</v>
      </c>
    </row>
    <row r="13">
      <c r="A13" s="16">
        <v>45987.61302898148</v>
      </c>
      <c r="B13" s="14" t="s">
        <v>195</v>
      </c>
      <c r="C13" s="14">
        <v>2.4297779E7</v>
      </c>
      <c r="D13" s="14" t="s">
        <v>22</v>
      </c>
      <c r="E13" s="14">
        <v>10.0</v>
      </c>
      <c r="F13" s="14" t="s">
        <v>200</v>
      </c>
      <c r="G13" s="14" t="s">
        <v>191</v>
      </c>
    </row>
    <row r="15">
      <c r="A15" s="15" t="s">
        <v>235</v>
      </c>
      <c r="D15" s="15" t="s">
        <v>233</v>
      </c>
      <c r="E15" s="5">
        <f>AVERAGE(E3:E13,E1)</f>
        <v>9.916666667</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143.88"/>
  </cols>
  <sheetData>
    <row r="1">
      <c r="A1" s="16"/>
      <c r="D1" s="14" t="s">
        <v>22</v>
      </c>
      <c r="E1" s="14">
        <v>10.0</v>
      </c>
      <c r="F1" s="17" t="s">
        <v>50</v>
      </c>
    </row>
    <row r="2">
      <c r="A2" s="16"/>
      <c r="D2" s="14" t="s">
        <v>22</v>
      </c>
      <c r="E2" s="14">
        <v>10.0</v>
      </c>
      <c r="F2" s="17" t="s">
        <v>176</v>
      </c>
    </row>
    <row r="3">
      <c r="A3" s="16"/>
      <c r="D3" s="14" t="s">
        <v>22</v>
      </c>
      <c r="E3" s="14">
        <v>10.0</v>
      </c>
      <c r="F3" s="17" t="s">
        <v>187</v>
      </c>
    </row>
    <row r="4">
      <c r="A4" s="16"/>
      <c r="D4" s="14" t="s">
        <v>22</v>
      </c>
      <c r="E4" s="14">
        <v>10.0</v>
      </c>
      <c r="F4" s="17" t="s">
        <v>112</v>
      </c>
    </row>
    <row r="5">
      <c r="A5" s="16"/>
      <c r="D5" s="14" t="s">
        <v>22</v>
      </c>
      <c r="E5" s="14">
        <v>10.0</v>
      </c>
      <c r="F5" s="17" t="s">
        <v>76</v>
      </c>
    </row>
    <row r="6">
      <c r="A6" s="16"/>
      <c r="D6" s="14" t="s">
        <v>22</v>
      </c>
      <c r="E6" s="14">
        <v>10.0</v>
      </c>
      <c r="F6" s="17" t="s">
        <v>63</v>
      </c>
    </row>
    <row r="7">
      <c r="A7" s="16"/>
      <c r="D7" s="14" t="s">
        <v>22</v>
      </c>
      <c r="E7" s="14">
        <v>10.0</v>
      </c>
      <c r="F7" s="17" t="s">
        <v>23</v>
      </c>
    </row>
    <row r="8">
      <c r="A8" s="16"/>
      <c r="D8" s="14" t="s">
        <v>22</v>
      </c>
      <c r="E8" s="14">
        <v>9.0</v>
      </c>
      <c r="F8" s="17" t="s">
        <v>131</v>
      </c>
    </row>
    <row r="9">
      <c r="A9" s="16"/>
      <c r="D9" s="14" t="s">
        <v>22</v>
      </c>
      <c r="E9" s="14">
        <v>10.0</v>
      </c>
      <c r="F9" s="17" t="s">
        <v>151</v>
      </c>
    </row>
    <row r="10">
      <c r="A10" s="16"/>
      <c r="D10" s="14" t="s">
        <v>22</v>
      </c>
      <c r="E10" s="14">
        <v>10.0</v>
      </c>
      <c r="F10" s="17" t="s">
        <v>40</v>
      </c>
    </row>
    <row r="11">
      <c r="A11" s="16"/>
      <c r="D11" s="14" t="s">
        <v>22</v>
      </c>
      <c r="E11" s="14">
        <v>10.0</v>
      </c>
      <c r="F11" s="17" t="s">
        <v>162</v>
      </c>
    </row>
    <row r="12">
      <c r="A12" s="16"/>
      <c r="D12" s="14" t="s">
        <v>22</v>
      </c>
      <c r="E12" s="14">
        <v>10.0</v>
      </c>
      <c r="F12" s="17" t="s">
        <v>87</v>
      </c>
    </row>
    <row r="13">
      <c r="A13" s="16"/>
      <c r="D13" s="14" t="s">
        <v>22</v>
      </c>
      <c r="E13" s="14">
        <v>10.0</v>
      </c>
      <c r="F13" s="17" t="s">
        <v>200</v>
      </c>
    </row>
    <row r="15">
      <c r="A15" s="15"/>
      <c r="D15" s="15" t="s">
        <v>233</v>
      </c>
      <c r="E15" s="5">
        <f>AVERAGE(E3:E13,E1)</f>
        <v>9.916666667</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v>45987.640420208336</v>
      </c>
      <c r="B1" s="14" t="s">
        <v>93</v>
      </c>
      <c r="C1" s="14">
        <v>2.4265502E7</v>
      </c>
      <c r="D1" s="14" t="s">
        <v>31</v>
      </c>
      <c r="E1" s="14">
        <v>10.0</v>
      </c>
      <c r="F1" s="14" t="s">
        <v>101</v>
      </c>
      <c r="G1" s="14" t="s">
        <v>95</v>
      </c>
    </row>
    <row r="2">
      <c r="A2" s="16">
        <v>45987.644060763894</v>
      </c>
      <c r="B2" s="14" t="s">
        <v>45</v>
      </c>
      <c r="C2" s="14">
        <v>2.3940844E7</v>
      </c>
      <c r="D2" s="14" t="s">
        <v>31</v>
      </c>
      <c r="E2" s="14">
        <v>10.0</v>
      </c>
      <c r="F2" s="14" t="s">
        <v>51</v>
      </c>
      <c r="G2" s="14" t="s">
        <v>43</v>
      </c>
    </row>
    <row r="3">
      <c r="A3" s="16">
        <v>45987.644339872684</v>
      </c>
      <c r="B3" s="14" t="s">
        <v>133</v>
      </c>
      <c r="C3" s="14">
        <v>2.3871862E7</v>
      </c>
      <c r="D3" s="14" t="s">
        <v>31</v>
      </c>
      <c r="E3" s="14">
        <v>10.0</v>
      </c>
      <c r="F3" s="14" t="s">
        <v>141</v>
      </c>
      <c r="G3" s="14" t="s">
        <v>135</v>
      </c>
    </row>
    <row r="4">
      <c r="A4" s="16">
        <v>45987.64442975694</v>
      </c>
      <c r="B4" s="14" t="s">
        <v>104</v>
      </c>
      <c r="C4" s="14">
        <v>2.3930236E7</v>
      </c>
      <c r="D4" s="14" t="s">
        <v>31</v>
      </c>
      <c r="E4" s="14">
        <v>10.0</v>
      </c>
      <c r="F4" s="14" t="s">
        <v>113</v>
      </c>
      <c r="G4" s="14" t="s">
        <v>106</v>
      </c>
    </row>
    <row r="5">
      <c r="A5" s="16">
        <v>45987.644449513886</v>
      </c>
      <c r="B5" s="14" t="s">
        <v>57</v>
      </c>
      <c r="C5" s="14">
        <v>2.4306455E7</v>
      </c>
      <c r="D5" s="14" t="s">
        <v>31</v>
      </c>
      <c r="E5" s="14">
        <v>10.0</v>
      </c>
      <c r="F5" s="14" t="s">
        <v>64</v>
      </c>
      <c r="G5" s="14" t="s">
        <v>56</v>
      </c>
    </row>
    <row r="6">
      <c r="A6" s="16">
        <v>45987.6444599074</v>
      </c>
      <c r="B6" s="14" t="s">
        <v>123</v>
      </c>
      <c r="C6" s="14">
        <v>2.414914E7</v>
      </c>
      <c r="D6" s="14" t="s">
        <v>31</v>
      </c>
      <c r="E6" s="14">
        <v>9.0</v>
      </c>
      <c r="F6" s="14" t="s">
        <v>129</v>
      </c>
      <c r="G6" s="14" t="s">
        <v>125</v>
      </c>
    </row>
    <row r="7">
      <c r="A7" s="16">
        <v>45987.644478877315</v>
      </c>
      <c r="B7" s="14" t="s">
        <v>79</v>
      </c>
      <c r="C7" s="14">
        <v>2.3983447E7</v>
      </c>
      <c r="D7" s="14" t="s">
        <v>31</v>
      </c>
      <c r="E7" s="14">
        <v>10.0</v>
      </c>
      <c r="F7" s="14" t="s">
        <v>88</v>
      </c>
      <c r="G7" s="14" t="s">
        <v>81</v>
      </c>
    </row>
    <row r="8">
      <c r="A8" s="16">
        <v>45987.64456460648</v>
      </c>
      <c r="B8" s="14" t="s">
        <v>119</v>
      </c>
      <c r="C8" s="14">
        <v>2.4288209E7</v>
      </c>
      <c r="D8" s="14" t="s">
        <v>31</v>
      </c>
      <c r="E8" s="14">
        <v>10.0</v>
      </c>
      <c r="F8" s="14" t="s">
        <v>122</v>
      </c>
      <c r="G8" s="14" t="s">
        <v>118</v>
      </c>
    </row>
    <row r="9">
      <c r="A9" s="16">
        <v>45987.644631006944</v>
      </c>
      <c r="B9" s="14" t="s">
        <v>67</v>
      </c>
      <c r="C9" s="14">
        <v>2.416559E7</v>
      </c>
      <c r="D9" s="14" t="s">
        <v>31</v>
      </c>
      <c r="E9" s="14">
        <v>9.0</v>
      </c>
      <c r="F9" s="14" t="s">
        <v>77</v>
      </c>
      <c r="G9" s="14" t="s">
        <v>69</v>
      </c>
    </row>
    <row r="10">
      <c r="A10" s="16">
        <v>45987.64485070602</v>
      </c>
      <c r="B10" s="14" t="s">
        <v>165</v>
      </c>
      <c r="C10" s="14">
        <v>2.399838E7</v>
      </c>
      <c r="D10" s="14" t="s">
        <v>31</v>
      </c>
      <c r="E10" s="14">
        <v>9.0</v>
      </c>
      <c r="F10" s="14" t="s">
        <v>160</v>
      </c>
      <c r="G10" s="14" t="s">
        <v>155</v>
      </c>
    </row>
    <row r="11">
      <c r="A11" s="16">
        <v>45987.64494864583</v>
      </c>
      <c r="B11" s="14" t="s">
        <v>26</v>
      </c>
      <c r="C11" s="14">
        <v>2.415071E7</v>
      </c>
      <c r="D11" s="14" t="s">
        <v>31</v>
      </c>
      <c r="E11" s="14">
        <v>10.0</v>
      </c>
      <c r="F11" s="14" t="s">
        <v>37</v>
      </c>
      <c r="G11" s="14" t="s">
        <v>30</v>
      </c>
    </row>
    <row r="12">
      <c r="A12" s="16">
        <v>45987.645431412035</v>
      </c>
      <c r="B12" s="14" t="s">
        <v>166</v>
      </c>
      <c r="C12" s="14" t="s">
        <v>167</v>
      </c>
      <c r="D12" s="14" t="s">
        <v>31</v>
      </c>
      <c r="E12" s="14">
        <v>10.0</v>
      </c>
      <c r="F12" s="14" t="s">
        <v>177</v>
      </c>
      <c r="G12" s="14" t="s">
        <v>169</v>
      </c>
    </row>
    <row r="13">
      <c r="A13" s="16">
        <v>45987.64585215278</v>
      </c>
      <c r="B13" s="14" t="s">
        <v>189</v>
      </c>
      <c r="C13" s="14">
        <v>2.4297779E7</v>
      </c>
      <c r="D13" s="14" t="s">
        <v>31</v>
      </c>
      <c r="E13" s="14">
        <v>10.0</v>
      </c>
      <c r="F13" s="14" t="s">
        <v>194</v>
      </c>
      <c r="G13" s="14" t="s">
        <v>191</v>
      </c>
    </row>
    <row r="15">
      <c r="A15" s="15" t="s">
        <v>235</v>
      </c>
      <c r="D15" s="15" t="s">
        <v>233</v>
      </c>
      <c r="E15" s="5">
        <f>AVERAGE(E1:E11,E13)</f>
        <v>9.75</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77.88"/>
  </cols>
  <sheetData>
    <row r="1">
      <c r="A1" s="16"/>
      <c r="D1" s="14" t="s">
        <v>31</v>
      </c>
      <c r="E1" s="14">
        <v>10.0</v>
      </c>
      <c r="F1" s="17" t="s">
        <v>101</v>
      </c>
    </row>
    <row r="2">
      <c r="A2" s="16"/>
      <c r="D2" s="14" t="s">
        <v>31</v>
      </c>
      <c r="E2" s="14">
        <v>10.0</v>
      </c>
      <c r="F2" s="17" t="s">
        <v>51</v>
      </c>
    </row>
    <row r="3">
      <c r="A3" s="16"/>
      <c r="D3" s="14" t="s">
        <v>31</v>
      </c>
      <c r="E3" s="14">
        <v>10.0</v>
      </c>
      <c r="F3" s="17" t="s">
        <v>141</v>
      </c>
    </row>
    <row r="4">
      <c r="A4" s="16"/>
      <c r="D4" s="14" t="s">
        <v>31</v>
      </c>
      <c r="E4" s="14">
        <v>10.0</v>
      </c>
      <c r="F4" s="17" t="s">
        <v>113</v>
      </c>
    </row>
    <row r="5">
      <c r="A5" s="16"/>
      <c r="D5" s="14" t="s">
        <v>31</v>
      </c>
      <c r="E5" s="14">
        <v>10.0</v>
      </c>
      <c r="F5" s="17" t="s">
        <v>64</v>
      </c>
    </row>
    <row r="6">
      <c r="A6" s="16"/>
      <c r="D6" s="14" t="s">
        <v>31</v>
      </c>
      <c r="E6" s="14">
        <v>9.0</v>
      </c>
      <c r="F6" s="17" t="s">
        <v>129</v>
      </c>
    </row>
    <row r="7">
      <c r="A7" s="16"/>
      <c r="D7" s="14" t="s">
        <v>31</v>
      </c>
      <c r="E7" s="14">
        <v>10.0</v>
      </c>
      <c r="F7" s="17" t="s">
        <v>88</v>
      </c>
    </row>
    <row r="8">
      <c r="A8" s="16"/>
      <c r="D8" s="14" t="s">
        <v>31</v>
      </c>
      <c r="E8" s="14">
        <v>10.0</v>
      </c>
      <c r="F8" s="17" t="s">
        <v>122</v>
      </c>
    </row>
    <row r="9">
      <c r="A9" s="16"/>
      <c r="D9" s="14" t="s">
        <v>31</v>
      </c>
      <c r="E9" s="14">
        <v>9.0</v>
      </c>
      <c r="F9" s="17" t="s">
        <v>77</v>
      </c>
    </row>
    <row r="10">
      <c r="A10" s="16"/>
      <c r="D10" s="14" t="s">
        <v>31</v>
      </c>
      <c r="E10" s="14">
        <v>9.0</v>
      </c>
      <c r="F10" s="17" t="s">
        <v>160</v>
      </c>
    </row>
    <row r="11">
      <c r="A11" s="16"/>
      <c r="D11" s="14" t="s">
        <v>31</v>
      </c>
      <c r="E11" s="14">
        <v>10.0</v>
      </c>
      <c r="F11" s="17" t="s">
        <v>37</v>
      </c>
    </row>
    <row r="12">
      <c r="A12" s="16"/>
      <c r="D12" s="14" t="s">
        <v>31</v>
      </c>
      <c r="E12" s="14">
        <v>10.0</v>
      </c>
      <c r="F12" s="17" t="s">
        <v>177</v>
      </c>
    </row>
    <row r="13">
      <c r="A13" s="16"/>
      <c r="D13" s="14" t="s">
        <v>31</v>
      </c>
      <c r="E13" s="14">
        <v>10.0</v>
      </c>
      <c r="F13" s="17" t="s">
        <v>194</v>
      </c>
    </row>
    <row r="15">
      <c r="A15" s="15"/>
      <c r="D15" s="15" t="s">
        <v>233</v>
      </c>
      <c r="E15" s="5">
        <f>AVERAGE(E1:E11,E13)</f>
        <v>9.75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v>45987.60407696759</v>
      </c>
      <c r="B1" s="14" t="s">
        <v>104</v>
      </c>
      <c r="C1" s="14">
        <v>2.3930236E7</v>
      </c>
      <c r="D1" s="14" t="s">
        <v>24</v>
      </c>
      <c r="E1" s="14">
        <v>10.0</v>
      </c>
      <c r="F1" s="14" t="s">
        <v>114</v>
      </c>
      <c r="G1" s="14" t="s">
        <v>106</v>
      </c>
    </row>
    <row r="2">
      <c r="A2" s="16">
        <v>45987.604121620374</v>
      </c>
      <c r="B2" s="14" t="s">
        <v>7</v>
      </c>
      <c r="C2" s="14">
        <v>2.373778E7</v>
      </c>
      <c r="D2" s="14" t="s">
        <v>24</v>
      </c>
      <c r="E2" s="14">
        <v>10.0</v>
      </c>
      <c r="F2" s="14" t="s">
        <v>25</v>
      </c>
      <c r="G2" s="14" t="s">
        <v>10</v>
      </c>
    </row>
    <row r="3">
      <c r="A3" s="16">
        <v>45987.60446991898</v>
      </c>
      <c r="B3" s="14" t="s">
        <v>123</v>
      </c>
      <c r="C3" s="14">
        <v>2.414914E7</v>
      </c>
      <c r="D3" s="14" t="s">
        <v>24</v>
      </c>
      <c r="E3" s="14">
        <v>9.0</v>
      </c>
      <c r="F3" s="14" t="s">
        <v>132</v>
      </c>
      <c r="G3" s="14" t="s">
        <v>125</v>
      </c>
    </row>
    <row r="4">
      <c r="A4" s="16">
        <v>45987.60455662037</v>
      </c>
      <c r="B4" s="14" t="s">
        <v>53</v>
      </c>
      <c r="C4" s="14" t="s">
        <v>54</v>
      </c>
      <c r="D4" s="14" t="s">
        <v>24</v>
      </c>
      <c r="E4" s="14">
        <v>10.0</v>
      </c>
      <c r="F4" s="14" t="s">
        <v>55</v>
      </c>
      <c r="G4" s="14" t="s">
        <v>56</v>
      </c>
    </row>
    <row r="5">
      <c r="A5" s="16">
        <v>45987.60457924768</v>
      </c>
      <c r="B5" s="14" t="s">
        <v>79</v>
      </c>
      <c r="C5" s="14">
        <v>2.3983447E7</v>
      </c>
      <c r="D5" s="14" t="s">
        <v>24</v>
      </c>
      <c r="E5" s="14">
        <v>10.0</v>
      </c>
      <c r="F5" s="14" t="s">
        <v>89</v>
      </c>
      <c r="G5" s="14" t="s">
        <v>81</v>
      </c>
    </row>
    <row r="6">
      <c r="A6" s="16">
        <v>45987.604787696764</v>
      </c>
      <c r="B6" s="14" t="s">
        <v>45</v>
      </c>
      <c r="C6" s="14">
        <v>2.3940844E7</v>
      </c>
      <c r="D6" s="14" t="s">
        <v>24</v>
      </c>
      <c r="E6" s="14">
        <v>10.0</v>
      </c>
      <c r="F6" s="14" t="s">
        <v>52</v>
      </c>
      <c r="G6" s="14" t="s">
        <v>43</v>
      </c>
    </row>
    <row r="7">
      <c r="A7" s="16">
        <v>45987.604791226855</v>
      </c>
      <c r="B7" s="14" t="s">
        <v>166</v>
      </c>
      <c r="C7" s="14" t="s">
        <v>167</v>
      </c>
      <c r="D7" s="14" t="s">
        <v>24</v>
      </c>
      <c r="E7" s="14">
        <v>9.0</v>
      </c>
      <c r="F7" s="14" t="s">
        <v>178</v>
      </c>
      <c r="G7" s="14" t="s">
        <v>169</v>
      </c>
    </row>
    <row r="8">
      <c r="A8" s="16">
        <v>45987.60483118056</v>
      </c>
      <c r="B8" s="14" t="s">
        <v>163</v>
      </c>
      <c r="C8" s="14">
        <v>2.399838E7</v>
      </c>
      <c r="D8" s="14" t="s">
        <v>24</v>
      </c>
      <c r="E8" s="14">
        <v>10.0</v>
      </c>
      <c r="F8" s="14" t="s">
        <v>164</v>
      </c>
      <c r="G8" s="14" t="s">
        <v>155</v>
      </c>
    </row>
    <row r="9">
      <c r="A9" s="16">
        <v>45987.605243032405</v>
      </c>
      <c r="B9" s="14" t="s">
        <v>179</v>
      </c>
      <c r="C9" s="14">
        <v>2.4022604E7</v>
      </c>
      <c r="D9" s="14" t="s">
        <v>24</v>
      </c>
      <c r="E9" s="14">
        <v>9.0</v>
      </c>
      <c r="F9" s="14" t="s">
        <v>188</v>
      </c>
      <c r="G9" s="14" t="s">
        <v>181</v>
      </c>
    </row>
    <row r="10">
      <c r="A10" s="16">
        <v>45987.605268761574</v>
      </c>
      <c r="B10" s="14" t="s">
        <v>143</v>
      </c>
      <c r="C10" s="14">
        <v>2.3759169E7</v>
      </c>
      <c r="D10" s="14" t="s">
        <v>24</v>
      </c>
      <c r="E10" s="14">
        <v>10.0</v>
      </c>
      <c r="F10" s="14" t="s">
        <v>152</v>
      </c>
      <c r="G10" s="14" t="s">
        <v>145</v>
      </c>
    </row>
    <row r="11">
      <c r="A11" s="16">
        <v>45987.60569320602</v>
      </c>
      <c r="B11" s="14" t="s">
        <v>67</v>
      </c>
      <c r="C11" s="14">
        <v>2.416559E7</v>
      </c>
      <c r="D11" s="14" t="s">
        <v>24</v>
      </c>
      <c r="E11" s="14">
        <v>9.0</v>
      </c>
      <c r="F11" s="14" t="s">
        <v>78</v>
      </c>
      <c r="G11" s="14" t="s">
        <v>69</v>
      </c>
    </row>
    <row r="12">
      <c r="A12" s="16">
        <v>45987.606042858795</v>
      </c>
      <c r="B12" s="14" t="s">
        <v>26</v>
      </c>
      <c r="C12" s="14">
        <v>2.415071E7</v>
      </c>
      <c r="D12" s="14" t="s">
        <v>24</v>
      </c>
      <c r="E12" s="14">
        <v>9.0</v>
      </c>
      <c r="F12" s="14" t="s">
        <v>38</v>
      </c>
      <c r="G12" s="14" t="s">
        <v>28</v>
      </c>
    </row>
    <row r="13">
      <c r="A13" s="16">
        <v>45987.613010243054</v>
      </c>
      <c r="B13" s="14" t="s">
        <v>102</v>
      </c>
      <c r="C13" s="14">
        <v>2.4265502E7</v>
      </c>
      <c r="D13" s="14" t="s">
        <v>24</v>
      </c>
      <c r="E13" s="14">
        <v>10.0</v>
      </c>
      <c r="F13" s="14" t="s">
        <v>103</v>
      </c>
      <c r="G13" s="14" t="s">
        <v>95</v>
      </c>
    </row>
    <row r="14">
      <c r="A14" s="18">
        <v>45987.61451943287</v>
      </c>
      <c r="B14" s="19" t="s">
        <v>133</v>
      </c>
      <c r="C14" s="19">
        <v>2.3871862E7</v>
      </c>
      <c r="D14" s="19" t="s">
        <v>24</v>
      </c>
      <c r="E14" s="19">
        <v>7.0</v>
      </c>
      <c r="F14" s="19" t="s">
        <v>142</v>
      </c>
      <c r="G14" s="19" t="s">
        <v>135</v>
      </c>
    </row>
    <row r="16">
      <c r="A16" s="15" t="s">
        <v>237</v>
      </c>
      <c r="D16" s="15" t="s">
        <v>233</v>
      </c>
      <c r="E16" s="5">
        <f>AVERAGE(E1:E6,E8,E9,E10,E11,E12,E13,E14)</f>
        <v>9.461538462</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96.25"/>
  </cols>
  <sheetData>
    <row r="1">
      <c r="A1" s="16"/>
      <c r="D1" s="14" t="s">
        <v>24</v>
      </c>
      <c r="E1" s="14">
        <v>10.0</v>
      </c>
      <c r="F1" s="17" t="s">
        <v>114</v>
      </c>
    </row>
    <row r="2">
      <c r="A2" s="16"/>
      <c r="D2" s="14" t="s">
        <v>24</v>
      </c>
      <c r="E2" s="14">
        <v>10.0</v>
      </c>
      <c r="F2" s="17" t="s">
        <v>25</v>
      </c>
    </row>
    <row r="3">
      <c r="A3" s="16"/>
      <c r="D3" s="14" t="s">
        <v>24</v>
      </c>
      <c r="E3" s="14">
        <v>9.0</v>
      </c>
      <c r="F3" s="17" t="s">
        <v>132</v>
      </c>
    </row>
    <row r="4">
      <c r="A4" s="16"/>
      <c r="D4" s="14" t="s">
        <v>24</v>
      </c>
      <c r="E4" s="14">
        <v>10.0</v>
      </c>
      <c r="F4" s="17" t="s">
        <v>55</v>
      </c>
    </row>
    <row r="5">
      <c r="A5" s="16"/>
      <c r="D5" s="14" t="s">
        <v>24</v>
      </c>
      <c r="E5" s="14">
        <v>10.0</v>
      </c>
      <c r="F5" s="17" t="s">
        <v>89</v>
      </c>
    </row>
    <row r="6">
      <c r="A6" s="16"/>
      <c r="D6" s="14" t="s">
        <v>24</v>
      </c>
      <c r="E6" s="14">
        <v>10.0</v>
      </c>
      <c r="F6" s="17" t="s">
        <v>52</v>
      </c>
    </row>
    <row r="7">
      <c r="A7" s="16"/>
      <c r="D7" s="14" t="s">
        <v>24</v>
      </c>
      <c r="E7" s="14">
        <v>9.0</v>
      </c>
      <c r="F7" s="17" t="s">
        <v>178</v>
      </c>
    </row>
    <row r="8">
      <c r="A8" s="16"/>
      <c r="D8" s="14" t="s">
        <v>24</v>
      </c>
      <c r="E8" s="14">
        <v>10.0</v>
      </c>
      <c r="F8" s="17" t="s">
        <v>164</v>
      </c>
    </row>
    <row r="9">
      <c r="A9" s="16"/>
      <c r="D9" s="14" t="s">
        <v>24</v>
      </c>
      <c r="E9" s="14">
        <v>9.0</v>
      </c>
      <c r="F9" s="17" t="s">
        <v>188</v>
      </c>
    </row>
    <row r="10">
      <c r="A10" s="16"/>
      <c r="D10" s="14" t="s">
        <v>24</v>
      </c>
      <c r="E10" s="14">
        <v>10.0</v>
      </c>
      <c r="F10" s="17" t="s">
        <v>152</v>
      </c>
    </row>
    <row r="11">
      <c r="A11" s="16"/>
      <c r="D11" s="14" t="s">
        <v>24</v>
      </c>
      <c r="E11" s="14">
        <v>9.0</v>
      </c>
      <c r="F11" s="17" t="s">
        <v>78</v>
      </c>
    </row>
    <row r="12">
      <c r="A12" s="16"/>
      <c r="D12" s="14" t="s">
        <v>24</v>
      </c>
      <c r="E12" s="14">
        <v>9.0</v>
      </c>
      <c r="F12" s="17" t="s">
        <v>38</v>
      </c>
    </row>
    <row r="13">
      <c r="A13" s="16"/>
      <c r="D13" s="14" t="s">
        <v>24</v>
      </c>
      <c r="E13" s="14">
        <v>10.0</v>
      </c>
      <c r="F13" s="17" t="s">
        <v>103</v>
      </c>
    </row>
    <row r="14">
      <c r="A14" s="18"/>
      <c r="B14" s="19"/>
      <c r="C14" s="19"/>
      <c r="D14" s="19" t="s">
        <v>24</v>
      </c>
      <c r="E14" s="19">
        <v>7.0</v>
      </c>
      <c r="F14" s="20" t="s">
        <v>142</v>
      </c>
      <c r="G14" s="19"/>
    </row>
    <row r="16">
      <c r="A16" s="15"/>
      <c r="D16" s="15" t="s">
        <v>233</v>
      </c>
      <c r="E16" s="5">
        <f>AVERAGE(E1:E6,E8,E9,E10,E11,E12,E13,E14)</f>
        <v>9.461538462</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